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user\Desktop\Страхование\Онлайн страхование\Москва, Роман\"/>
    </mc:Choice>
  </mc:AlternateContent>
  <xr:revisionPtr revIDLastSave="0" documentId="13_ncr:1_{2DF6046E-729E-44B3-A3B4-EDDD9A0F4FCC}" xr6:coauthVersionLast="45" xr6:coauthVersionMax="45" xr10:uidLastSave="{00000000-0000-0000-0000-000000000000}"/>
  <bookViews>
    <workbookView xWindow="-108" yWindow="-108" windowWidth="23256" windowHeight="13176" xr2:uid="{A079CCD2-48D0-4A51-89A6-A08069F0ED9D}"/>
  </bookViews>
  <sheets>
    <sheet name="Полис" sheetId="1" r:id="rId1"/>
  </sheets>
  <externalReferences>
    <externalReference r:id="rId2"/>
  </externalReferences>
  <definedNames>
    <definedName name="Actions">#REF!</definedName>
    <definedName name="Professions">#REF!</definedName>
    <definedName name="_xlnm.Print_Area" localSheetId="0">Полис!$C$10:$I$40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149" i="1" l="1"/>
  <c r="I148" i="1"/>
  <c r="I147" i="1"/>
  <c r="E145" i="1"/>
  <c r="F139" i="1"/>
  <c r="D139" i="1"/>
  <c r="E138" i="1"/>
  <c r="E137" i="1"/>
  <c r="H135" i="1"/>
  <c r="C135" i="1"/>
  <c r="I118" i="1"/>
  <c r="I117" i="1"/>
  <c r="I116" i="1"/>
  <c r="E114" i="1"/>
  <c r="F108" i="1"/>
  <c r="D108" i="1"/>
  <c r="E107" i="1"/>
  <c r="E106" i="1"/>
  <c r="H104" i="1"/>
  <c r="C104" i="1"/>
  <c r="I87" i="1"/>
  <c r="I86" i="1"/>
  <c r="I85" i="1"/>
  <c r="E83" i="1"/>
  <c r="D79" i="1"/>
  <c r="F77" i="1"/>
  <c r="D77" i="1"/>
  <c r="E76" i="1"/>
  <c r="E75" i="1"/>
  <c r="H73" i="1"/>
  <c r="C73" i="1"/>
  <c r="I56" i="1"/>
  <c r="I55" i="1"/>
  <c r="I54" i="1"/>
  <c r="E52" i="1"/>
  <c r="D48" i="1"/>
  <c r="F46" i="1"/>
  <c r="D46" i="1"/>
  <c r="E45" i="1"/>
  <c r="E44" i="1"/>
  <c r="H42" i="1"/>
  <c r="C42" i="1"/>
  <c r="I23" i="1"/>
  <c r="I24" i="1" s="1"/>
  <c r="I25" i="1" s="1"/>
  <c r="E21" i="1"/>
  <c r="G17" i="1"/>
  <c r="D17" i="1"/>
  <c r="F15" i="1"/>
  <c r="D15" i="1"/>
  <c r="E14" i="1"/>
  <c r="E13" i="1"/>
  <c r="H11" i="1"/>
  <c r="C11" i="1"/>
  <c r="C9" i="1"/>
  <c r="B9" i="1" s="1"/>
  <c r="AT7" i="1"/>
  <c r="D141" i="1" s="1"/>
  <c r="R7" i="1"/>
  <c r="P7" i="1"/>
  <c r="B7" i="1"/>
  <c r="AT6" i="1"/>
  <c r="AU6" i="1" s="1"/>
  <c r="G110" i="1" s="1"/>
  <c r="R6" i="1"/>
  <c r="P6" i="1"/>
  <c r="B6" i="1"/>
  <c r="AT5" i="1"/>
  <c r="AU5" i="1" s="1"/>
  <c r="G79" i="1" s="1"/>
  <c r="R5" i="1"/>
  <c r="P5" i="1"/>
  <c r="B5" i="1"/>
  <c r="A5" i="1"/>
  <c r="A6" i="1" s="1"/>
  <c r="A7" i="1" s="1"/>
  <c r="AT4" i="1"/>
  <c r="AU4" i="1" s="1"/>
  <c r="G48" i="1" s="1"/>
  <c r="R4" i="1"/>
  <c r="P4" i="1"/>
  <c r="B4" i="1"/>
  <c r="A4" i="1"/>
  <c r="AU7" i="1" l="1"/>
  <c r="G141" i="1" s="1"/>
  <c r="D1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K1" authorId="0" shapeId="0" xr:uid="{A565993B-7F9A-4B7F-B503-A9842BA7C477}">
      <text>
        <r>
          <rPr>
            <sz val="10"/>
            <rFont val="Arial Cyr"/>
            <family val="2"/>
            <charset val="204"/>
          </rPr>
          <t>Из списка профессий</t>
        </r>
      </text>
    </comment>
    <comment ref="L1" authorId="0" shapeId="0" xr:uid="{77F00DFB-6393-42E7-ADD8-C20E316138E8}">
      <text>
        <r>
          <rPr>
            <sz val="10"/>
            <rFont val="Arial Cyr"/>
            <family val="2"/>
            <charset val="204"/>
          </rPr>
          <t>Номер программы (поле на уровне предмета в программе "Полисы"), к которой прикреплён застрахованный</t>
        </r>
      </text>
    </comment>
    <comment ref="M1" authorId="0" shapeId="0" xr:uid="{020ACA19-47B6-4218-BD67-BFDD9BB9E3CD}">
      <text>
        <r>
          <rPr>
            <sz val="10"/>
            <rFont val="Arial Cyr"/>
            <family val="2"/>
            <charset val="204"/>
          </rPr>
          <t>Добавление
Изменение
Открепление.
Добавление на срок</t>
        </r>
      </text>
    </comment>
    <comment ref="N1" authorId="0" shapeId="0" xr:uid="{D5790678-E43F-402C-BE0E-F3692157EE42}">
      <text>
        <r>
          <rPr>
            <sz val="10"/>
            <rFont val="Arial Cyr"/>
            <family val="2"/>
            <charset val="204"/>
          </rPr>
          <t>Дата вступление в силу изменений. По умолчанию будет автоматически проставлена дата начала действия полиса (состояния)</t>
        </r>
      </text>
    </comment>
    <comment ref="O1" authorId="0" shapeId="0" xr:uid="{257D5430-2FAF-4613-B580-B45B75843B10}">
      <text>
        <r>
          <rPr>
            <sz val="10"/>
            <rFont val="Arial Cyr"/>
            <family val="2"/>
            <charset val="204"/>
          </rPr>
          <t>По умолчанию 0</t>
        </r>
      </text>
    </comment>
    <comment ref="P1" authorId="0" shapeId="0" xr:uid="{368E05D1-6953-4A37-997F-C0AE0D5D9ADC}">
      <text>
        <r>
          <rPr>
            <sz val="10"/>
            <rFont val="Arial Cyr"/>
            <family val="2"/>
            <charset val="204"/>
          </rPr>
          <t>По умолчанию 0</t>
        </r>
      </text>
    </comment>
    <comment ref="Q1" authorId="0" shapeId="0" xr:uid="{58C52FEB-55CA-4876-885C-137A4DE94868}">
      <text>
        <r>
          <rPr>
            <sz val="10"/>
            <rFont val="Arial Cyr"/>
            <family val="2"/>
            <charset val="204"/>
          </rPr>
          <t>По умолчанию 0</t>
        </r>
      </text>
    </comment>
    <comment ref="R1" authorId="0" shapeId="0" xr:uid="{476FE858-20AF-42CD-BAE2-10B6932853DC}">
      <text>
        <r>
          <rPr>
            <sz val="10"/>
            <rFont val="Arial Cyr"/>
            <family val="2"/>
            <charset val="204"/>
          </rPr>
          <t>По умолчанию 0</t>
        </r>
      </text>
    </comment>
  </commentList>
</comments>
</file>

<file path=xl/sharedStrings.xml><?xml version="1.0" encoding="utf-8"?>
<sst xmlns="http://schemas.openxmlformats.org/spreadsheetml/2006/main" count="323" uniqueCount="126">
  <si>
    <t>№ по списку*</t>
  </si>
  <si>
    <t>Табельный номер</t>
  </si>
  <si>
    <t>ФИО*</t>
  </si>
  <si>
    <t>Пол*</t>
  </si>
  <si>
    <t>Дата рождения*</t>
  </si>
  <si>
    <t>Адрес проживания*</t>
  </si>
  <si>
    <t>Данные документа*</t>
  </si>
  <si>
    <t>Кем выдан паспорт</t>
  </si>
  <si>
    <t>Дата выдачи документа</t>
  </si>
  <si>
    <t>Профессия*</t>
  </si>
  <si>
    <t>Номер программы*</t>
  </si>
  <si>
    <t>Действие*</t>
  </si>
  <si>
    <t>Дата вступления в силу</t>
  </si>
  <si>
    <t>СС по риску "смерть НС" (ЛСН)*</t>
  </si>
  <si>
    <t>СС по риску "инвалидность НС" (ЛИН)</t>
  </si>
  <si>
    <t>СС по риску "утрата трудосп-ти НС" (ЛВУ)</t>
  </si>
  <si>
    <t>СС по риску "травма/ увечье" (ЛУВ)</t>
  </si>
  <si>
    <t>СС по риску "Госп. в р-те НС, болезни" (ГОСПИТАЛ)</t>
  </si>
  <si>
    <t>СС по риску "Госп. в р-те НС" (ГОСПНС)</t>
  </si>
  <si>
    <t>СС по риску "смерть НС, болезни" (СНБ)</t>
  </si>
  <si>
    <t>СС по риску "Пост. Утрата трупдос-ти в р-те НС, болезни" (ПНБ)</t>
  </si>
  <si>
    <t>СС по риску "утрата трудосп-ти НС, болезни" (ВУНБ)</t>
  </si>
  <si>
    <t>СС по риску "Критические заболевания"(DD)</t>
  </si>
  <si>
    <t>СС по риску "хирургические операции в рез-те НС" (surgery)</t>
  </si>
  <si>
    <t>СС по риску "хирургические операции в рез-те НС или болезни" (surgery2)</t>
  </si>
  <si>
    <t>СС по риску "Заболевание" (Б)</t>
  </si>
  <si>
    <t>Выгодоприобретатели</t>
  </si>
  <si>
    <t>Тип документа</t>
  </si>
  <si>
    <t>Код
одразделения</t>
  </si>
  <si>
    <t>Место
рождения</t>
  </si>
  <si>
    <t>Номер полиса</t>
  </si>
  <si>
    <t>Сроки оформления</t>
  </si>
  <si>
    <t>Оплачено, 
руб.</t>
  </si>
  <si>
    <t>Виды спорта</t>
  </si>
  <si>
    <t>Клуб</t>
  </si>
  <si>
    <t>Тренер</t>
  </si>
  <si>
    <t>Контакты родителей</t>
  </si>
  <si>
    <t>Серия</t>
  </si>
  <si>
    <t>Номер</t>
  </si>
  <si>
    <t>Оформлено</t>
  </si>
  <si>
    <t>Начало</t>
  </si>
  <si>
    <t>Окончание</t>
  </si>
  <si>
    <t>ФИО</t>
  </si>
  <si>
    <t>Телефон</t>
  </si>
  <si>
    <t>e-mail</t>
  </si>
  <si>
    <t xml:space="preserve">Берегуленко Арина Андреевна </t>
  </si>
  <si>
    <t>Берегуленко Арина Андреевна</t>
  </si>
  <si>
    <t>Ж</t>
  </si>
  <si>
    <t>Россия</t>
  </si>
  <si>
    <t>отдел ЗАГС по Ленинскому району г.Саратова Управления по делам ЗАГС Правительства Саратовской области</t>
  </si>
  <si>
    <t>380-022</t>
  </si>
  <si>
    <t>Паспорт</t>
  </si>
  <si>
    <t>учащиеся</t>
  </si>
  <si>
    <t>Добавление</t>
  </si>
  <si>
    <t xml:space="preserve">Армрестлинг  </t>
  </si>
  <si>
    <t>SYS3063530994</t>
  </si>
  <si>
    <t>Армрестлинг</t>
  </si>
  <si>
    <t>оплачено</t>
  </si>
  <si>
    <t>Будник Людмила  Руслановна</t>
  </si>
  <si>
    <t>г. Туапсе, ул. Звездная 22, кв.19</t>
  </si>
  <si>
    <t>IV-АГ</t>
  </si>
  <si>
    <t>806448</t>
  </si>
  <si>
    <t>отдел записи актов гражданского состояния Туапсинского района управления записи актов гражданского состояния Краснодарского края</t>
  </si>
  <si>
    <t>без паспорта</t>
  </si>
  <si>
    <t>-</t>
  </si>
  <si>
    <t>SYS3061584666</t>
  </si>
  <si>
    <t>Тхэквондо, Восточные единоборства, Плавание</t>
  </si>
  <si>
    <t>РАТ ГТФ</t>
  </si>
  <si>
    <t>Юсупов Фарит Рифович</t>
  </si>
  <si>
    <t>Краснодарский край</t>
  </si>
  <si>
    <t>Гусельникова Агата Денисовна</t>
  </si>
  <si>
    <t>Краснодарский край, р-н Динской, п.Южный, СНТ Ивушка, ул.Персиковая, д.29</t>
  </si>
  <si>
    <t>V-АГ</t>
  </si>
  <si>
    <t>Отдел ЗАГС Динского района Управления ЗАГС Краснодарского края</t>
  </si>
  <si>
    <t>Тхэквондо, Восточные единоборства</t>
  </si>
  <si>
    <t>Зименок Кирилл Витальевич</t>
  </si>
  <si>
    <t>М</t>
  </si>
  <si>
    <t>Россия, Краснодарский, Динской, п Южный, Абрикосовая (Ивушка тер. СНТ) ул, д. 61</t>
  </si>
  <si>
    <t xml:space="preserve">Отдел ЗАГС Прикубанского внутригородского округа города Краснодара Управления ЗАГС Краснодарского края </t>
  </si>
  <si>
    <t>Дурдыев Роман Дмитриевич</t>
  </si>
  <si>
    <t>раснодарский край, Динской р-н, п. Южный, ул. Атаманская д. 3</t>
  </si>
  <si>
    <t xml:space="preserve">Отдел ЗАГС Карасунского внутригородского округа города Краснодара Управления ЗАГС Краснодарского края </t>
  </si>
  <si>
    <t>Смешанные единоборства, Спортивная борьба панкратион, грэпплинг, джиу-джитсу</t>
  </si>
  <si>
    <t xml:space="preserve">Страховой полис
к договору страхования от несчастных случаев </t>
  </si>
  <si>
    <t>от</t>
  </si>
  <si>
    <t>Настоящим САО "РЕСО-Гарантия" подтверждает факт заключения договора страхования от несчастных случаев, в соответствии с которым</t>
  </si>
  <si>
    <t>Дата рождения</t>
  </si>
  <si>
    <t>Паспорт/Свидетельство о рождении</t>
  </si>
  <si>
    <t>является Застрахованным на следующих условиях:</t>
  </si>
  <si>
    <t>Срок страхования:</t>
  </si>
  <si>
    <t>Территория страхования:</t>
  </si>
  <si>
    <t>весь мир, кроме территорий, в которых объявлено чрезвычайное положение либо проводятся боевые действия (в том числе против террористов или вооруженных формирований)</t>
  </si>
  <si>
    <t>Время действия страхования:</t>
  </si>
  <si>
    <t>24 часа в сутки</t>
  </si>
  <si>
    <t>Вид спорта</t>
  </si>
  <si>
    <t xml:space="preserve">Страховая защита действует во время участия застрахованного в тренировках и спортивных мероприятиях по следующему виду спорта: </t>
  </si>
  <si>
    <t>ЗАСТРАХОВАННЫЕ РИСКИ</t>
  </si>
  <si>
    <t>ОБЪЕМ СТРАХОВЫХ ВЫПЛАТ</t>
  </si>
  <si>
    <t>СТРАХОВАЯ СУММА/руб.</t>
  </si>
  <si>
    <t xml:space="preserve">Смерть Застрахованного в результате несчастного случая </t>
  </si>
  <si>
    <t xml:space="preserve">100 %  страховой суммы выплачивается Выгодоприобретателям </t>
  </si>
  <si>
    <t>Постоянная утрата трудоспособности в результате несчастного случая (инвалидность)</t>
  </si>
  <si>
    <t>I группа – 100%, II группа – 75%, III группа – 50%.
При установлении инвалидности Застрахованному ребенку до 18 лет:
категория «ребенок-инвалид до достижения возраста 18 лет» – 100%; 
категория «ребенок-инвалид на срок два года» – 75%; 
категория «ребенок-инвалид на срок один год» – 50%;</t>
  </si>
  <si>
    <t xml:space="preserve"> </t>
  </si>
  <si>
    <t xml:space="preserve">Телесные повреждения Застрахованного в результате несчастного случая </t>
  </si>
  <si>
    <t xml:space="preserve">от 0.1%  до 100% страховой суммы </t>
  </si>
  <si>
    <t>Действия Застрахованного при наступлении страхового случая</t>
  </si>
  <si>
    <t xml:space="preserve">1.    Прежде всего, необходимо обратиться за медицинской помощью. </t>
  </si>
  <si>
    <t>2.    Необходимо известить о событии  САО "РЕСО-Гарантия" (любым доступным способом: предоставить заявление на выплату, сообщить по телефону, электронной почте) в течение 30 дней с даты наступления события.</t>
  </si>
  <si>
    <r>
      <t>№ Телефона:</t>
    </r>
    <r>
      <rPr>
        <sz val="10"/>
        <color indexed="8"/>
        <rFont val="Tahoma"/>
        <family val="2"/>
        <charset val="204"/>
      </rPr>
      <t xml:space="preserve"> 7303465; 7303464; (ip)0107200</t>
    </r>
  </si>
  <si>
    <r>
      <t>Бесплатный федеральный телефон</t>
    </r>
    <r>
      <rPr>
        <sz val="9"/>
        <color indexed="8"/>
        <rFont val="Tahoma"/>
        <family val="2"/>
        <charset val="204"/>
      </rPr>
      <t xml:space="preserve"> (для звонков из регионов России): </t>
    </r>
    <r>
      <rPr>
        <b/>
        <sz val="9"/>
        <color indexed="8"/>
        <rFont val="Tahoma"/>
        <family val="2"/>
        <charset val="204"/>
      </rPr>
      <t>8-800-234-18-02</t>
    </r>
  </si>
  <si>
    <r>
      <t>Адрес электронный почты</t>
    </r>
    <r>
      <rPr>
        <sz val="9"/>
        <color indexed="8"/>
        <rFont val="Tahoma"/>
        <family val="2"/>
        <charset val="204"/>
      </rPr>
      <t xml:space="preserve"> для уведомления о событии: vip8@reso.ru;</t>
    </r>
  </si>
  <si>
    <t xml:space="preserve">3.    Предоставить в САО "РЕСО-Гарантия" заполненное заявление на страховую выплату с приложением требуемых документов. </t>
  </si>
  <si>
    <t xml:space="preserve">Для подтверждения страхового случая при получении телесных повреждений к заявлению на получение страховой выплаты необходимо приложить следующие документы: </t>
  </si>
  <si>
    <r>
      <t>·</t>
    </r>
    <r>
      <rPr>
        <sz val="7"/>
        <rFont val="Times New Roman"/>
        <family val="1"/>
        <charset val="204"/>
      </rPr>
      <t xml:space="preserve">        </t>
    </r>
    <r>
      <rPr>
        <sz val="8"/>
        <color indexed="8"/>
        <rFont val="Tahoma"/>
        <family val="2"/>
        <charset val="204"/>
      </rPr>
      <t>Копия документа, удостоверяющего личность Заявителя;</t>
    </r>
  </si>
  <si>
    <r>
      <t>·</t>
    </r>
    <r>
      <rPr>
        <sz val="7"/>
        <rFont val="Times New Roman"/>
        <family val="1"/>
        <charset val="204"/>
      </rPr>
      <t xml:space="preserve">        </t>
    </r>
    <r>
      <rPr>
        <sz val="8"/>
        <color indexed="8"/>
        <rFont val="Tahoma"/>
        <family val="2"/>
        <charset val="204"/>
      </rPr>
      <t>Справка из травмпункта, выписка из лечебного учреждения;</t>
    </r>
  </si>
  <si>
    <r>
      <t>·</t>
    </r>
    <r>
      <rPr>
        <sz val="7"/>
        <rFont val="Times New Roman"/>
        <family val="1"/>
        <charset val="204"/>
      </rPr>
      <t xml:space="preserve">        </t>
    </r>
    <r>
      <rPr>
        <sz val="8"/>
        <color indexed="8"/>
        <rFont val="Tahoma"/>
        <family val="2"/>
        <charset val="204"/>
      </rPr>
      <t>Данные дополнительных методов исследования,  например, рентгенограмма (в случае необходимости уточнения диагноза);</t>
    </r>
    <r>
      <rPr>
        <sz val="4"/>
        <color indexed="8"/>
        <rFont val="Calibri"/>
        <family val="2"/>
        <charset val="204"/>
      </rPr>
      <t xml:space="preserve"> </t>
    </r>
  </si>
  <si>
    <t>Требования к предоставляемым медицинским документам:</t>
  </si>
  <si>
    <r>
      <t>Выписка из амбулаторной карты или выписной эпикриз должны иметь штамп медицинского учреждения, заверенный подписью главного врача/заведующего медицинского учреждением, с печатью для больничных листов и должны содержать следующую информацию: Ф.И.О. и возраст пациента, дата, время и место события, обстоятельства события, диагноз, период лечения, результаты дополнительных методов исследования и проведенное лечение, последствия, информация о выданных больничных листах.</t>
    </r>
    <r>
      <rPr>
        <sz val="1"/>
        <color indexed="8"/>
        <rFont val="Times New Roman"/>
        <family val="1"/>
        <charset val="204"/>
      </rPr>
      <t xml:space="preserve"> </t>
    </r>
  </si>
  <si>
    <t>Если проводилось рентгенологическое исследование, необходимо предоставить рентгеновские снимки с заключением, а также результаты дополнительных методов исследования и диагностики (если они проводились) с заключением.</t>
  </si>
  <si>
    <t xml:space="preserve">В соответствии с Правилами страхования, страховая выплата производится в течение 15 банковских дней с момента получения документов, подтверждающих факт и причину наступления страхового случая. </t>
  </si>
  <si>
    <t xml:space="preserve"> является Застрахованным на следующих условиях:</t>
  </si>
  <si>
    <t>На время участия в спортивных мероприятиях (тренировочный процесс и участие в соревнованиях)</t>
  </si>
  <si>
    <t xml:space="preserve">Страховая защита действует во время участия застрахованных в тренировках, спортивных соревнованиях и мероприятиях по следующему виду спорта: </t>
  </si>
  <si>
    <t>Тхэквондо, Восточные единоборства, Кикбоксинг</t>
  </si>
  <si>
    <t>Формулировка для Адаптивных спортсменов!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</si>
</sst>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d/mm/yy;@"/>
    <numFmt numFmtId="166" formatCode="0.0"/>
    <numFmt numFmtId="167" formatCode="_-* #,##0.00\ _₽_-;\-* #,##0.00\ _₽_-;_-* &quot;-&quot;??\ _₽_-;_-@_-"/>
    <numFmt numFmtId="168" formatCode="_-* #,##0\ _₽_-;\-* #,##0\ _₽_-;_-* &quot;-&quot;??\ _₽_-;_-@_-"/>
  </numFmts>
  <fonts count="49">
    <font>
      <sz val="12"/>
      <color theme="1"/>
      <name val="Calibri"/>
      <family val="2"/>
      <charset val="204"/>
      <scheme val="minor"/>
    </font>
    <font>
      <sz val="10"/>
      <name val="Arial Cyr"/>
      <family val="2"/>
      <charset val="204"/>
    </font>
    <font>
      <b/>
      <sz val="10"/>
      <color theme="1" tint="0.499984740745262"/>
      <name val="Arial Cyr"/>
      <family val="2"/>
      <charset val="204"/>
    </font>
    <font>
      <sz val="10"/>
      <color theme="1" tint="0.499984740745262"/>
      <name val="Arial Cyr"/>
      <charset val="204"/>
    </font>
    <font>
      <sz val="10"/>
      <name val="Arial Cyr"/>
      <charset val="204"/>
    </font>
    <font>
      <sz val="7"/>
      <name val="Arial Cyr"/>
      <charset val="204"/>
    </font>
    <font>
      <b/>
      <sz val="7"/>
      <color theme="2" tint="-9.9978637043366805E-2"/>
      <name val="Arial Cyr"/>
      <family val="2"/>
      <charset val="204"/>
    </font>
    <font>
      <b/>
      <sz val="10"/>
      <name val="Arial Cyr"/>
      <family val="2"/>
      <charset val="204"/>
    </font>
    <font>
      <sz val="9"/>
      <name val="Arial Cyr"/>
      <family val="2"/>
      <charset val="204"/>
    </font>
    <font>
      <sz val="10"/>
      <color theme="2" tint="-9.9978637043366805E-2"/>
      <name val="Arial Cyr"/>
      <family val="2"/>
      <charset val="204"/>
    </font>
    <font>
      <sz val="10"/>
      <color rgb="FF000000"/>
      <name val="Arial Cyr"/>
    </font>
    <font>
      <sz val="10"/>
      <color rgb="FF000000"/>
      <name val="Liberation Sans"/>
    </font>
    <font>
      <sz val="9"/>
      <color rgb="FF000000"/>
      <name val="Liberation Sans"/>
    </font>
    <font>
      <sz val="10"/>
      <color rgb="FF000000"/>
      <name val="Times New Roman"/>
      <family val="1"/>
      <charset val="204"/>
    </font>
    <font>
      <sz val="8"/>
      <color rgb="FF000000"/>
      <name val="Arial Cyr"/>
    </font>
    <font>
      <sz val="9"/>
      <color theme="1"/>
      <name val="Calibri"/>
      <family val="2"/>
      <charset val="204"/>
      <scheme val="minor"/>
    </font>
    <font>
      <sz val="10"/>
      <color theme="1"/>
      <name val="Arial"/>
      <family val="2"/>
      <charset val="204"/>
    </font>
    <font>
      <sz val="8"/>
      <name val="Arial Cyr"/>
      <family val="2"/>
      <charset val="204"/>
    </font>
    <font>
      <sz val="6"/>
      <name val="Arial Cyr"/>
      <family val="2"/>
      <charset val="204"/>
    </font>
    <font>
      <sz val="10"/>
      <name val="Arial"/>
      <family val="2"/>
      <charset val="204"/>
    </font>
    <font>
      <sz val="8"/>
      <color theme="1"/>
      <name val="Arial"/>
      <family val="2"/>
      <charset val="204"/>
    </font>
    <font>
      <sz val="8"/>
      <color theme="1"/>
      <name val="Arial Cyr"/>
      <family val="2"/>
      <charset val="204"/>
    </font>
    <font>
      <sz val="10"/>
      <color theme="1"/>
      <name val="Arial Cyr"/>
      <family val="2"/>
      <charset val="204"/>
    </font>
    <font>
      <sz val="9"/>
      <color theme="1"/>
      <name val="Segoe UI"/>
      <family val="2"/>
      <charset val="204"/>
    </font>
    <font>
      <sz val="10"/>
      <name val="Times New Roman"/>
      <family val="1"/>
      <charset val="204"/>
    </font>
    <font>
      <sz val="10"/>
      <color theme="1"/>
      <name val="Arial Cyr"/>
      <charset val="204"/>
    </font>
    <font>
      <sz val="6"/>
      <name val="Arial Cyr"/>
      <charset val="204"/>
    </font>
    <font>
      <sz val="10"/>
      <color theme="0" tint="-0.34998626667073579"/>
      <name val="Arial Cyr"/>
      <family val="2"/>
      <charset val="204"/>
    </font>
    <font>
      <b/>
      <sz val="10"/>
      <color rgb="FF008000"/>
      <name val="Tahoma"/>
      <family val="2"/>
      <charset val="204"/>
    </font>
    <font>
      <sz val="10"/>
      <color rgb="FF008000"/>
      <name val="Tahoma"/>
      <family val="2"/>
      <charset val="204"/>
    </font>
    <font>
      <sz val="9"/>
      <name val="Tahoma"/>
      <family val="2"/>
      <charset val="204"/>
    </font>
    <font>
      <b/>
      <sz val="9"/>
      <color rgb="FF000000"/>
      <name val="Tahoma"/>
      <family val="2"/>
      <charset val="204"/>
    </font>
    <font>
      <b/>
      <sz val="11"/>
      <color rgb="FF000000"/>
      <name val="Tahoma"/>
      <family val="2"/>
      <charset val="204"/>
    </font>
    <font>
      <sz val="11"/>
      <color rgb="FF000000"/>
      <name val="Tahoma"/>
      <family val="2"/>
      <charset val="204"/>
    </font>
    <font>
      <sz val="10"/>
      <color rgb="FF000000"/>
      <name val="Tahoma"/>
      <family val="2"/>
      <charset val="204"/>
    </font>
    <font>
      <b/>
      <sz val="11"/>
      <name val="Tahoma"/>
      <family val="2"/>
      <charset val="204"/>
    </font>
    <font>
      <b/>
      <sz val="8"/>
      <name val="Tahoma"/>
      <family val="2"/>
      <charset val="204"/>
    </font>
    <font>
      <sz val="8"/>
      <color rgb="FF000000"/>
      <name val="Tahoma"/>
      <family val="2"/>
      <charset val="204"/>
    </font>
    <font>
      <sz val="10"/>
      <color indexed="8"/>
      <name val="Tahoma"/>
      <family val="2"/>
      <charset val="204"/>
    </font>
    <font>
      <sz val="9"/>
      <color indexed="8"/>
      <name val="Tahoma"/>
      <family val="2"/>
      <charset val="204"/>
    </font>
    <font>
      <b/>
      <sz val="9"/>
      <color indexed="8"/>
      <name val="Tahoma"/>
      <family val="2"/>
      <charset val="204"/>
    </font>
    <font>
      <u/>
      <sz val="8"/>
      <color rgb="FF000000"/>
      <name val="Tahoma"/>
      <family val="2"/>
      <charset val="204"/>
    </font>
    <font>
      <sz val="8"/>
      <name val="Symbol"/>
      <family val="1"/>
      <charset val="2"/>
    </font>
    <font>
      <sz val="7"/>
      <name val="Times New Roman"/>
      <family val="1"/>
      <charset val="204"/>
    </font>
    <font>
      <sz val="8"/>
      <color indexed="8"/>
      <name val="Tahoma"/>
      <family val="2"/>
      <charset val="204"/>
    </font>
    <font>
      <sz val="4"/>
      <color indexed="8"/>
      <name val="Calibri"/>
      <family val="2"/>
      <charset val="204"/>
    </font>
    <font>
      <sz val="1"/>
      <color indexed="8"/>
      <name val="Times New Roman"/>
      <family val="1"/>
      <charset val="204"/>
    </font>
    <font>
      <b/>
      <sz val="9"/>
      <color rgb="FF000000"/>
      <name val="DejaVu Sans"/>
    </font>
    <font>
      <sz val="9"/>
      <color rgb="FF000000"/>
      <name val="DejaVu Sans"/>
    </font>
  </fonts>
  <fills count="14">
    <fill>
      <patternFill patternType="none"/>
    </fill>
    <fill>
      <patternFill patternType="gray125"/>
    </fill>
    <fill>
      <patternFill patternType="solid">
        <fgColor theme="8" tint="0.79998168889431442"/>
        <bgColor indexed="64"/>
      </patternFill>
    </fill>
    <fill>
      <patternFill patternType="solid">
        <fgColor rgb="FFFBD4B4"/>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rgb="FFFFCC00"/>
        <bgColor indexed="64"/>
      </patternFill>
    </fill>
    <fill>
      <patternFill patternType="solid">
        <fgColor rgb="FFFFC000"/>
        <bgColor indexed="64"/>
      </patternFill>
    </fill>
    <fill>
      <patternFill patternType="solid">
        <fgColor rgb="FFB6D7A8"/>
        <bgColor indexed="64"/>
      </patternFill>
    </fill>
    <fill>
      <patternFill patternType="solid">
        <fgColor rgb="FFFFFF00"/>
        <bgColor indexed="64"/>
      </patternFill>
    </fill>
    <fill>
      <patternFill patternType="gray0625">
        <bgColor rgb="FFFFFF00"/>
      </patternFill>
    </fill>
    <fill>
      <patternFill patternType="solid">
        <fgColor theme="4" tint="0.79998168889431442"/>
        <bgColor indexed="64"/>
      </patternFill>
    </fill>
    <fill>
      <patternFill patternType="solid">
        <fgColor rgb="FFFFFFFF"/>
        <bgColor indexed="64"/>
      </patternFill>
    </fill>
    <fill>
      <patternFill patternType="solid">
        <fgColor rgb="FF339966"/>
        <bgColor indexed="64"/>
      </patternFill>
    </fill>
  </fills>
  <borders count="56">
    <border>
      <left/>
      <right/>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medium">
        <color theme="9" tint="-0.249977111117893"/>
      </left>
      <right/>
      <top style="medium">
        <color theme="9" tint="-0.249977111117893"/>
      </top>
      <bottom/>
      <diagonal/>
    </border>
    <border>
      <left/>
      <right/>
      <top style="medium">
        <color theme="9" tint="-0.249977111117893"/>
      </top>
      <bottom/>
      <diagonal/>
    </border>
    <border>
      <left/>
      <right style="medium">
        <color theme="9" tint="-0.249977111117893"/>
      </right>
      <top style="medium">
        <color theme="9" tint="-0.249977111117893"/>
      </top>
      <bottom/>
      <diagonal/>
    </border>
    <border>
      <left style="medium">
        <color theme="9" tint="-0.249977111117893"/>
      </left>
      <right/>
      <top/>
      <bottom/>
      <diagonal/>
    </border>
    <border>
      <left/>
      <right style="medium">
        <color theme="9" tint="-0.249977111117893"/>
      </right>
      <top/>
      <bottom/>
      <diagonal/>
    </border>
    <border>
      <left style="medium">
        <color theme="9" tint="-0.249977111117893"/>
      </left>
      <right style="thick">
        <color theme="9" tint="-0.249977111117893"/>
      </right>
      <top style="thick">
        <color theme="9" tint="-0.249977111117893"/>
      </top>
      <bottom style="thick">
        <color theme="9" tint="-0.249977111117893"/>
      </bottom>
      <diagonal/>
    </border>
    <border>
      <left style="thick">
        <color theme="9" tint="-0.249977111117893"/>
      </left>
      <right/>
      <top style="thick">
        <color theme="9" tint="-0.249977111117893"/>
      </top>
      <bottom style="thick">
        <color theme="9" tint="-0.249977111117893"/>
      </bottom>
      <diagonal/>
    </border>
    <border>
      <left/>
      <right/>
      <top style="thick">
        <color theme="9" tint="-0.249977111117893"/>
      </top>
      <bottom style="thick">
        <color theme="9" tint="-0.249977111117893"/>
      </bottom>
      <diagonal/>
    </border>
    <border>
      <left/>
      <right style="medium">
        <color theme="9" tint="-0.249977111117893"/>
      </right>
      <top style="thick">
        <color theme="9" tint="-0.249977111117893"/>
      </top>
      <bottom style="thick">
        <color theme="9" tint="-0.249977111117893"/>
      </bottom>
      <diagonal/>
    </border>
    <border>
      <left style="medium">
        <color theme="9" tint="-0.249977111117893"/>
      </left>
      <right style="thick">
        <color theme="9" tint="-0.249977111117893"/>
      </right>
      <top/>
      <bottom style="thick">
        <color theme="9" tint="-0.249977111117893"/>
      </bottom>
      <diagonal/>
    </border>
    <border>
      <left style="medium">
        <color theme="9" tint="-0.249977111117893"/>
      </left>
      <right/>
      <top style="thick">
        <color theme="9" tint="-0.249977111117893"/>
      </top>
      <bottom style="thick">
        <color theme="9" tint="-0.249977111117893"/>
      </bottom>
      <diagonal/>
    </border>
    <border>
      <left style="medium">
        <color theme="9" tint="-0.249977111117893"/>
      </left>
      <right style="thick">
        <color theme="9" tint="-0.249977111117893"/>
      </right>
      <top/>
      <bottom/>
      <diagonal/>
    </border>
    <border>
      <left/>
      <right/>
      <top/>
      <bottom style="thick">
        <color theme="9" tint="-0.249977111117893"/>
      </bottom>
      <diagonal/>
    </border>
    <border>
      <left/>
      <right style="medium">
        <color theme="9" tint="-0.249977111117893"/>
      </right>
      <top/>
      <bottom style="thick">
        <color theme="9" tint="-0.249977111117893"/>
      </bottom>
      <diagonal/>
    </border>
    <border>
      <left style="medium">
        <color theme="9" tint="-0.249977111117893"/>
      </left>
      <right style="thick">
        <color theme="9" tint="-0.249977111117893"/>
      </right>
      <top style="thick">
        <color theme="9" tint="-0.249977111117893"/>
      </top>
      <bottom/>
      <diagonal/>
    </border>
    <border>
      <left style="medium">
        <color theme="9" tint="-0.249977111117893"/>
      </left>
      <right style="thick">
        <color theme="9" tint="-0.249977111117893"/>
      </right>
      <top/>
      <bottom style="thick">
        <color rgb="FF00B050"/>
      </bottom>
      <diagonal/>
    </border>
    <border>
      <left style="thin">
        <color indexed="64"/>
      </left>
      <right style="thin">
        <color indexed="64"/>
      </right>
      <top style="thick">
        <color rgb="FF00B050"/>
      </top>
      <bottom style="medium">
        <color theme="9" tint="-0.249977111117893"/>
      </bottom>
      <diagonal/>
    </border>
    <border>
      <left style="thin">
        <color indexed="64"/>
      </left>
      <right/>
      <top/>
      <bottom style="thick">
        <color rgb="FF339966"/>
      </bottom>
      <diagonal/>
    </border>
    <border>
      <left/>
      <right/>
      <top/>
      <bottom style="thick">
        <color rgb="FF339966"/>
      </bottom>
      <diagonal/>
    </border>
    <border>
      <left style="thin">
        <color indexed="64"/>
      </left>
      <right style="medium">
        <color theme="9" tint="-0.249977111117893"/>
      </right>
      <top/>
      <bottom style="thick">
        <color rgb="FF339966"/>
      </bottom>
      <diagonal/>
    </border>
    <border>
      <left style="medium">
        <color theme="9" tint="-0.249977111117893"/>
      </left>
      <right style="thick">
        <color theme="9" tint="-0.249977111117893"/>
      </right>
      <top style="medium">
        <color theme="9" tint="-0.249977111117893"/>
      </top>
      <bottom/>
      <diagonal/>
    </border>
    <border>
      <left style="thick">
        <color theme="9" tint="-0.249977111117893"/>
      </left>
      <right/>
      <top style="thick">
        <color rgb="FF339966"/>
      </top>
      <bottom/>
      <diagonal/>
    </border>
    <border>
      <left/>
      <right/>
      <top style="thick">
        <color rgb="FF339966"/>
      </top>
      <bottom/>
      <diagonal/>
    </border>
    <border>
      <left/>
      <right style="thick">
        <color theme="9" tint="-0.249977111117893"/>
      </right>
      <top style="thick">
        <color rgb="FF339966"/>
      </top>
      <bottom/>
      <diagonal/>
    </border>
    <border>
      <left/>
      <right style="thick">
        <color theme="9" tint="-0.249977111117893"/>
      </right>
      <top style="thick">
        <color theme="9" tint="-0.249977111117893"/>
      </top>
      <bottom style="thick">
        <color theme="9" tint="-0.249977111117893"/>
      </bottom>
      <diagonal/>
    </border>
    <border>
      <left style="thick">
        <color theme="9" tint="-0.249977111117893"/>
      </left>
      <right style="medium">
        <color theme="9" tint="-0.249977111117893"/>
      </right>
      <top style="thick">
        <color theme="9" tint="-0.249977111117893"/>
      </top>
      <bottom style="thick">
        <color theme="9" tint="-0.249977111117893"/>
      </bottom>
      <diagonal/>
    </border>
    <border>
      <left/>
      <right style="medium">
        <color theme="9" tint="-0.249977111117893"/>
      </right>
      <top/>
      <bottom style="thick">
        <color rgb="FF339966"/>
      </bottom>
      <diagonal/>
    </border>
    <border>
      <left style="medium">
        <color theme="9" tint="-0.249977111117893"/>
      </left>
      <right/>
      <top/>
      <bottom style="medium">
        <color theme="9" tint="-0.249977111117893"/>
      </bottom>
      <diagonal/>
    </border>
    <border>
      <left/>
      <right/>
      <top/>
      <bottom style="medium">
        <color theme="9" tint="-0.249977111117893"/>
      </bottom>
      <diagonal/>
    </border>
    <border>
      <left/>
      <right style="medium">
        <color theme="9" tint="-0.249977111117893"/>
      </right>
      <top/>
      <bottom style="medium">
        <color theme="9" tint="-0.249977111117893"/>
      </bottom>
      <diagonal/>
    </border>
    <border>
      <left style="thick">
        <color rgb="FF00B050"/>
      </left>
      <right style="thick">
        <color rgb="FF339966"/>
      </right>
      <top style="thick">
        <color rgb="FF339966"/>
      </top>
      <bottom style="thick">
        <color rgb="FF339966"/>
      </bottom>
      <diagonal/>
    </border>
    <border>
      <left style="thick">
        <color rgb="FF339966"/>
      </left>
      <right/>
      <top style="thick">
        <color rgb="FF339966"/>
      </top>
      <bottom style="thick">
        <color rgb="FF339966"/>
      </bottom>
      <diagonal/>
    </border>
    <border>
      <left/>
      <right/>
      <top style="thick">
        <color rgb="FF339966"/>
      </top>
      <bottom style="thick">
        <color rgb="FF339966"/>
      </bottom>
      <diagonal/>
    </border>
    <border>
      <left/>
      <right style="thick">
        <color rgb="FF00B050"/>
      </right>
      <top style="thick">
        <color rgb="FF339966"/>
      </top>
      <bottom style="thick">
        <color rgb="FF339966"/>
      </bottom>
      <diagonal/>
    </border>
    <border>
      <left style="thick">
        <color rgb="FF00B050"/>
      </left>
      <right style="thick">
        <color rgb="FF339966"/>
      </right>
      <top style="thick">
        <color rgb="FF339966"/>
      </top>
      <bottom/>
      <diagonal/>
    </border>
    <border>
      <left style="thick">
        <color rgb="FF00B050"/>
      </left>
      <right style="thick">
        <color rgb="FF339966"/>
      </right>
      <top/>
      <bottom style="thick">
        <color rgb="FF00B050"/>
      </bottom>
      <diagonal/>
    </border>
    <border>
      <left style="thick">
        <color rgb="FF339966"/>
      </left>
      <right/>
      <top style="thick">
        <color rgb="FF339966"/>
      </top>
      <bottom/>
      <diagonal/>
    </border>
    <border>
      <left/>
      <right style="thick">
        <color rgb="FF00B050"/>
      </right>
      <top style="thick">
        <color rgb="FF339966"/>
      </top>
      <bottom/>
      <diagonal/>
    </border>
    <border>
      <left style="thick">
        <color rgb="FF339966"/>
      </left>
      <right/>
      <top/>
      <bottom style="thick">
        <color rgb="FF00B050"/>
      </bottom>
      <diagonal/>
    </border>
    <border>
      <left/>
      <right/>
      <top/>
      <bottom style="thick">
        <color rgb="FF00B050"/>
      </bottom>
      <diagonal/>
    </border>
    <border>
      <left/>
      <right style="thick">
        <color rgb="FF00B050"/>
      </right>
      <top/>
      <bottom style="thick">
        <color rgb="FF00B050"/>
      </bottom>
      <diagonal/>
    </border>
  </borders>
  <cellStyleXfs count="4">
    <xf numFmtId="0" fontId="0" fillId="0" borderId="0"/>
    <xf numFmtId="167" fontId="19" fillId="0" borderId="0" applyFill="0" applyBorder="0" applyAlignment="0" applyProtection="0"/>
    <xf numFmtId="0" fontId="1" fillId="0" borderId="0"/>
    <xf numFmtId="0" fontId="23" fillId="0" borderId="0"/>
  </cellStyleXfs>
  <cellXfs count="183">
    <xf numFmtId="0" fontId="0" fillId="0" borderId="0" xfId="0"/>
    <xf numFmtId="0" fontId="2" fillId="2" borderId="1" xfId="2" applyFont="1" applyFill="1" applyBorder="1" applyAlignment="1">
      <alignment horizontal="center" vertical="center" wrapText="1"/>
    </xf>
    <xf numFmtId="0" fontId="3" fillId="2" borderId="2" xfId="2" applyFont="1" applyFill="1" applyBorder="1" applyAlignment="1">
      <alignment horizontal="center" vertical="center" wrapText="1"/>
    </xf>
    <xf numFmtId="0" fontId="4" fillId="2" borderId="3" xfId="2" applyFont="1" applyFill="1" applyBorder="1" applyAlignment="1">
      <alignment horizontal="center" vertical="center" wrapText="1"/>
    </xf>
    <xf numFmtId="0" fontId="4" fillId="2" borderId="4" xfId="2" applyFont="1" applyFill="1" applyBorder="1" applyAlignment="1">
      <alignment horizontal="center" vertical="center" wrapText="1"/>
    </xf>
    <xf numFmtId="0" fontId="4" fillId="2" borderId="5" xfId="2" applyFont="1" applyFill="1" applyBorder="1" applyAlignment="1">
      <alignment horizontal="center" vertical="center" wrapText="1"/>
    </xf>
    <xf numFmtId="14" fontId="4" fillId="2" borderId="1" xfId="2" applyNumberFormat="1" applyFont="1" applyFill="1" applyBorder="1" applyAlignment="1">
      <alignment horizontal="center" vertical="center" wrapText="1"/>
    </xf>
    <xf numFmtId="0" fontId="5" fillId="2" borderId="3" xfId="2" applyFont="1" applyFill="1" applyBorder="1" applyAlignment="1">
      <alignment horizontal="center" vertical="center" wrapText="1"/>
    </xf>
    <xf numFmtId="164" fontId="4" fillId="2" borderId="3" xfId="2" applyNumberFormat="1" applyFont="1" applyFill="1" applyBorder="1" applyAlignment="1">
      <alignment horizontal="center" vertical="center" wrapText="1"/>
    </xf>
    <xf numFmtId="0" fontId="6" fillId="2" borderId="6" xfId="2" applyFont="1" applyFill="1" applyBorder="1" applyAlignment="1">
      <alignment horizontal="center" vertical="center" wrapText="1"/>
    </xf>
    <xf numFmtId="0" fontId="6" fillId="2" borderId="3" xfId="2" applyFont="1" applyFill="1" applyBorder="1" applyAlignment="1">
      <alignment horizontal="center" vertical="center" wrapText="1"/>
    </xf>
    <xf numFmtId="0" fontId="6" fillId="2" borderId="1" xfId="2" applyFont="1" applyFill="1" applyBorder="1" applyAlignment="1">
      <alignment horizontal="center" vertical="center" wrapText="1"/>
    </xf>
    <xf numFmtId="0" fontId="7" fillId="2" borderId="0" xfId="2" applyFont="1" applyFill="1" applyAlignment="1">
      <alignment horizontal="center" vertical="center" wrapText="1"/>
    </xf>
    <xf numFmtId="0" fontId="7" fillId="2" borderId="5" xfId="2" applyFont="1" applyFill="1" applyBorder="1" applyAlignment="1">
      <alignment horizontal="center" vertical="center" wrapText="1"/>
    </xf>
    <xf numFmtId="0" fontId="1" fillId="2" borderId="6" xfId="2" applyFill="1" applyBorder="1" applyAlignment="1">
      <alignment horizontal="center" vertical="center" wrapText="1"/>
    </xf>
    <xf numFmtId="0" fontId="1" fillId="2" borderId="1" xfId="2" applyFill="1" applyBorder="1" applyAlignment="1">
      <alignment horizontal="center" vertical="center" wrapText="1"/>
    </xf>
    <xf numFmtId="0" fontId="1" fillId="2" borderId="2" xfId="2" applyFill="1" applyBorder="1" applyAlignment="1">
      <alignment horizontal="center" vertical="center" wrapText="1"/>
    </xf>
    <xf numFmtId="0" fontId="1" fillId="2" borderId="3" xfId="2" applyFill="1" applyBorder="1" applyAlignment="1">
      <alignment horizontal="center" vertical="center" wrapText="1"/>
    </xf>
    <xf numFmtId="0" fontId="1" fillId="2" borderId="7" xfId="2" applyFill="1" applyBorder="1" applyAlignment="1">
      <alignment horizontal="center" vertical="center" wrapText="1"/>
    </xf>
    <xf numFmtId="0" fontId="1" fillId="2" borderId="8" xfId="2" applyFill="1" applyBorder="1" applyAlignment="1">
      <alignment horizontal="center" vertical="center" wrapText="1"/>
    </xf>
    <xf numFmtId="0" fontId="1" fillId="2" borderId="9" xfId="2" applyFill="1" applyBorder="1" applyAlignment="1">
      <alignment horizontal="center" vertical="center" wrapText="1"/>
    </xf>
    <xf numFmtId="0" fontId="8" fillId="2" borderId="3" xfId="2" applyFont="1" applyFill="1" applyBorder="1" applyAlignment="1">
      <alignment horizontal="center" vertical="center"/>
    </xf>
    <xf numFmtId="0" fontId="1" fillId="2" borderId="3" xfId="2" applyFill="1" applyBorder="1" applyAlignment="1">
      <alignment horizontal="center" vertical="center"/>
    </xf>
    <xf numFmtId="0" fontId="1" fillId="2" borderId="0" xfId="2" applyFill="1" applyAlignment="1">
      <alignment horizontal="center" vertical="center"/>
    </xf>
    <xf numFmtId="0" fontId="1" fillId="0" borderId="0" xfId="2" applyAlignment="1">
      <alignment horizontal="center" vertical="center"/>
    </xf>
    <xf numFmtId="0" fontId="2" fillId="2" borderId="0" xfId="2" applyFont="1" applyFill="1" applyAlignment="1">
      <alignment horizontal="center" vertical="center" wrapText="1"/>
    </xf>
    <xf numFmtId="0" fontId="3" fillId="2" borderId="10" xfId="2" applyFont="1" applyFill="1" applyBorder="1" applyAlignment="1">
      <alignment horizontal="center" vertical="center" wrapText="1"/>
    </xf>
    <xf numFmtId="0" fontId="1" fillId="2" borderId="3" xfId="2" applyFill="1" applyBorder="1" applyAlignment="1">
      <alignment horizontal="center" vertical="center" wrapText="1"/>
    </xf>
    <xf numFmtId="165" fontId="1" fillId="2" borderId="3" xfId="2" applyNumberFormat="1" applyFill="1" applyBorder="1" applyAlignment="1">
      <alignment horizontal="center" vertical="center"/>
    </xf>
    <xf numFmtId="14" fontId="4" fillId="2" borderId="0" xfId="2" applyNumberFormat="1" applyFont="1" applyFill="1" applyAlignment="1">
      <alignment horizontal="center" vertical="center" wrapText="1"/>
    </xf>
    <xf numFmtId="0" fontId="6" fillId="2" borderId="7" xfId="2" applyFont="1" applyFill="1" applyBorder="1" applyAlignment="1">
      <alignment horizontal="center" vertical="center" wrapText="1"/>
    </xf>
    <xf numFmtId="0" fontId="9" fillId="0" borderId="0" xfId="2" applyFont="1" applyAlignment="1">
      <alignment horizontal="center"/>
    </xf>
    <xf numFmtId="0" fontId="6" fillId="2" borderId="8" xfId="2" applyFont="1" applyFill="1" applyBorder="1" applyAlignment="1">
      <alignment horizontal="center" vertical="center" wrapText="1"/>
    </xf>
    <xf numFmtId="0" fontId="1" fillId="0" borderId="0" xfId="2"/>
    <xf numFmtId="0" fontId="0" fillId="0" borderId="3" xfId="2" applyFont="1" applyBorder="1" applyAlignment="1">
      <alignment horizontal="center" vertical="center"/>
    </xf>
    <xf numFmtId="0" fontId="10" fillId="3" borderId="3" xfId="2" applyFont="1" applyFill="1" applyBorder="1" applyAlignment="1">
      <alignment horizontal="center" vertical="center"/>
    </xf>
    <xf numFmtId="0" fontId="10" fillId="3" borderId="3" xfId="2" applyFont="1" applyFill="1" applyBorder="1" applyAlignment="1">
      <alignment vertical="center"/>
    </xf>
    <xf numFmtId="0" fontId="11" fillId="3" borderId="3" xfId="2" applyFont="1" applyFill="1" applyBorder="1" applyAlignment="1">
      <alignment horizontal="left" vertical="center" wrapText="1"/>
    </xf>
    <xf numFmtId="14" fontId="12" fillId="3" borderId="3" xfId="2" applyNumberFormat="1" applyFont="1" applyFill="1" applyBorder="1" applyAlignment="1">
      <alignment horizontal="left" vertical="center" wrapText="1"/>
    </xf>
    <xf numFmtId="0" fontId="13" fillId="3" borderId="3" xfId="2" applyFont="1" applyFill="1" applyBorder="1" applyAlignment="1">
      <alignment horizontal="center" vertical="center"/>
    </xf>
    <xf numFmtId="49" fontId="13" fillId="3" borderId="3" xfId="2" applyNumberFormat="1" applyFont="1" applyFill="1" applyBorder="1" applyAlignment="1">
      <alignment horizontal="left" vertical="center"/>
    </xf>
    <xf numFmtId="49" fontId="11" fillId="3" borderId="3" xfId="2" applyNumberFormat="1" applyFont="1" applyFill="1" applyBorder="1" applyAlignment="1">
      <alignment horizontal="left" vertical="center"/>
    </xf>
    <xf numFmtId="49" fontId="12" fillId="3" borderId="3" xfId="2" applyNumberFormat="1" applyFont="1" applyFill="1" applyBorder="1" applyAlignment="1">
      <alignment horizontal="left" vertical="center"/>
    </xf>
    <xf numFmtId="14" fontId="11" fillId="3" borderId="3" xfId="2" applyNumberFormat="1" applyFont="1" applyFill="1" applyBorder="1" applyAlignment="1">
      <alignment horizontal="left" vertical="center"/>
    </xf>
    <xf numFmtId="0" fontId="13" fillId="3" borderId="3" xfId="2" applyFont="1" applyFill="1" applyBorder="1" applyAlignment="1">
      <alignment horizontal="left" vertical="center"/>
    </xf>
    <xf numFmtId="0" fontId="10" fillId="4" borderId="3" xfId="2" applyFont="1" applyFill="1" applyBorder="1"/>
    <xf numFmtId="0" fontId="10" fillId="4" borderId="3" xfId="2" applyFont="1" applyFill="1" applyBorder="1" applyAlignment="1">
      <alignment vertical="center"/>
    </xf>
    <xf numFmtId="0" fontId="14" fillId="4" borderId="3" xfId="2" applyFont="1" applyFill="1" applyBorder="1" applyAlignment="1">
      <alignment horizontal="left" vertical="center"/>
    </xf>
    <xf numFmtId="0" fontId="14" fillId="3" borderId="3" xfId="2" applyFont="1" applyFill="1" applyBorder="1" applyAlignment="1">
      <alignment horizontal="center" vertical="center"/>
    </xf>
    <xf numFmtId="14" fontId="10" fillId="3" borderId="3" xfId="2" applyNumberFormat="1" applyFont="1" applyFill="1" applyBorder="1" applyAlignment="1">
      <alignment horizontal="center" vertical="center"/>
    </xf>
    <xf numFmtId="0" fontId="10" fillId="0" borderId="3" xfId="2" applyFont="1" applyBorder="1" applyAlignment="1">
      <alignment horizontal="center" vertical="center"/>
    </xf>
    <xf numFmtId="0" fontId="15" fillId="5" borderId="3" xfId="2" applyFont="1" applyFill="1" applyBorder="1" applyAlignment="1">
      <alignment vertical="center"/>
    </xf>
    <xf numFmtId="0" fontId="10" fillId="5" borderId="3" xfId="2" applyFont="1" applyFill="1" applyBorder="1" applyAlignment="1">
      <alignment vertical="center"/>
    </xf>
    <xf numFmtId="0" fontId="10" fillId="6" borderId="3" xfId="2" applyFont="1" applyFill="1" applyBorder="1" applyAlignment="1">
      <alignment vertical="center"/>
    </xf>
    <xf numFmtId="0" fontId="10" fillId="7" borderId="3" xfId="2" applyFont="1" applyFill="1" applyBorder="1" applyAlignment="1">
      <alignment vertical="center"/>
    </xf>
    <xf numFmtId="166" fontId="10" fillId="6" borderId="3" xfId="2" applyNumberFormat="1" applyFont="1" applyFill="1" applyBorder="1" applyAlignment="1">
      <alignment vertical="center"/>
    </xf>
    <xf numFmtId="0" fontId="15" fillId="0" borderId="3" xfId="2" applyFont="1" applyBorder="1" applyAlignment="1">
      <alignment vertical="center"/>
    </xf>
    <xf numFmtId="14" fontId="15" fillId="0" borderId="3" xfId="2" applyNumberFormat="1" applyFont="1" applyBorder="1" applyAlignment="1">
      <alignment vertical="center"/>
    </xf>
    <xf numFmtId="0" fontId="16" fillId="8" borderId="11" xfId="2" applyFont="1" applyFill="1" applyBorder="1" applyAlignment="1">
      <alignment horizontal="center" wrapText="1"/>
    </xf>
    <xf numFmtId="0" fontId="1" fillId="9" borderId="3" xfId="2" applyFill="1" applyBorder="1" applyAlignment="1">
      <alignment horizontal="center" vertical="center"/>
    </xf>
    <xf numFmtId="1" fontId="17" fillId="9" borderId="3" xfId="2" applyNumberFormat="1" applyFont="1" applyFill="1" applyBorder="1" applyAlignment="1">
      <alignment vertical="center"/>
    </xf>
    <xf numFmtId="0" fontId="1" fillId="9" borderId="3" xfId="2" applyFill="1" applyBorder="1" applyAlignment="1">
      <alignment vertical="center"/>
    </xf>
    <xf numFmtId="14" fontId="1" fillId="9" borderId="3" xfId="2" applyNumberFormat="1" applyFill="1" applyBorder="1" applyAlignment="1">
      <alignment horizontal="center" vertical="center"/>
    </xf>
    <xf numFmtId="0" fontId="1" fillId="9" borderId="3" xfId="2" applyFill="1" applyBorder="1" applyAlignment="1">
      <alignment horizontal="left" vertical="center"/>
    </xf>
    <xf numFmtId="49" fontId="1" fillId="9" borderId="3" xfId="2" applyNumberFormat="1" applyFill="1" applyBorder="1" applyAlignment="1">
      <alignment horizontal="center" vertical="center"/>
    </xf>
    <xf numFmtId="0" fontId="1" fillId="10" borderId="3" xfId="2" applyFill="1" applyBorder="1" applyAlignment="1">
      <alignment horizontal="center" vertical="center"/>
    </xf>
    <xf numFmtId="0" fontId="8" fillId="10" borderId="3" xfId="2" applyFont="1" applyFill="1" applyBorder="1" applyAlignment="1">
      <alignment horizontal="center" vertical="center"/>
    </xf>
    <xf numFmtId="0" fontId="18" fillId="10" borderId="3" xfId="2" applyFont="1" applyFill="1" applyBorder="1" applyAlignment="1">
      <alignment horizontal="center" vertical="center" wrapText="1"/>
    </xf>
    <xf numFmtId="14" fontId="1" fillId="9" borderId="12" xfId="2" applyNumberFormat="1" applyFill="1" applyBorder="1" applyAlignment="1">
      <alignment horizontal="center" vertical="center"/>
    </xf>
    <xf numFmtId="168" fontId="20" fillId="9" borderId="3" xfId="1" applyNumberFormat="1" applyFont="1" applyFill="1" applyBorder="1" applyAlignment="1">
      <alignment horizontal="center" vertical="center"/>
    </xf>
    <xf numFmtId="168" fontId="21" fillId="9" borderId="4" xfId="2" applyNumberFormat="1" applyFont="1" applyFill="1" applyBorder="1" applyAlignment="1">
      <alignment horizontal="center" vertical="center"/>
    </xf>
    <xf numFmtId="0" fontId="22" fillId="9" borderId="12" xfId="2" applyFont="1" applyFill="1" applyBorder="1" applyAlignment="1">
      <alignment horizontal="center" vertical="center"/>
    </xf>
    <xf numFmtId="168" fontId="21" fillId="9" borderId="13" xfId="2" applyNumberFormat="1" applyFont="1" applyFill="1" applyBorder="1" applyAlignment="1">
      <alignment vertical="center"/>
    </xf>
    <xf numFmtId="0" fontId="1" fillId="9" borderId="13" xfId="2" applyFill="1" applyBorder="1" applyAlignment="1">
      <alignment vertical="center"/>
    </xf>
    <xf numFmtId="0" fontId="1" fillId="9" borderId="5" xfId="2" applyFill="1" applyBorder="1" applyAlignment="1">
      <alignment vertical="center"/>
    </xf>
    <xf numFmtId="0" fontId="1" fillId="9" borderId="1" xfId="2" applyFill="1" applyBorder="1" applyAlignment="1">
      <alignment vertical="center"/>
    </xf>
    <xf numFmtId="0" fontId="1" fillId="9" borderId="2" xfId="2" applyFill="1" applyBorder="1" applyAlignment="1">
      <alignment vertical="center"/>
    </xf>
    <xf numFmtId="49" fontId="24" fillId="11" borderId="14" xfId="3" applyNumberFormat="1" applyFont="1" applyFill="1" applyBorder="1" applyAlignment="1">
      <alignment horizontal="center" vertical="center"/>
    </xf>
    <xf numFmtId="0" fontId="22" fillId="9" borderId="3" xfId="2" applyFont="1" applyFill="1" applyBorder="1" applyAlignment="1">
      <alignment horizontal="left" vertical="center"/>
    </xf>
    <xf numFmtId="165" fontId="22" fillId="7" borderId="3" xfId="2" applyNumberFormat="1" applyFont="1" applyFill="1" applyBorder="1" applyAlignment="1">
      <alignment horizontal="center" vertical="center"/>
    </xf>
    <xf numFmtId="165" fontId="22" fillId="9" borderId="3" xfId="2" applyNumberFormat="1" applyFont="1" applyFill="1" applyBorder="1" applyAlignment="1">
      <alignment horizontal="center" vertical="center"/>
    </xf>
    <xf numFmtId="0" fontId="25" fillId="9" borderId="3" xfId="2" applyFont="1" applyFill="1" applyBorder="1" applyAlignment="1">
      <alignment horizontal="center" vertical="center"/>
    </xf>
    <xf numFmtId="49" fontId="26" fillId="9" borderId="3" xfId="2" applyNumberFormat="1" applyFont="1" applyFill="1" applyBorder="1" applyAlignment="1">
      <alignment vertical="top" wrapText="1"/>
    </xf>
    <xf numFmtId="49" fontId="1" fillId="9" borderId="3" xfId="2" applyNumberFormat="1" applyFill="1" applyBorder="1" applyAlignment="1">
      <alignment vertical="center"/>
    </xf>
    <xf numFmtId="0" fontId="1" fillId="9" borderId="0" xfId="2" applyFill="1" applyAlignment="1">
      <alignment vertical="center"/>
    </xf>
    <xf numFmtId="14" fontId="1" fillId="10" borderId="3" xfId="2" applyNumberFormat="1" applyFill="1" applyBorder="1" applyAlignment="1">
      <alignment horizontal="center" vertical="center"/>
    </xf>
    <xf numFmtId="0" fontId="27" fillId="9" borderId="3" xfId="2" applyFont="1" applyFill="1" applyBorder="1" applyAlignment="1">
      <alignment horizontal="center" vertical="center"/>
    </xf>
    <xf numFmtId="0" fontId="1" fillId="0" borderId="0" xfId="2" applyAlignment="1">
      <alignment vertical="center"/>
    </xf>
    <xf numFmtId="0" fontId="28" fillId="0" borderId="15" xfId="2" applyFont="1" applyBorder="1" applyAlignment="1">
      <alignment horizontal="center" vertical="center" wrapText="1"/>
    </xf>
    <xf numFmtId="0" fontId="28" fillId="0" borderId="16" xfId="2" applyFont="1" applyBorder="1" applyAlignment="1">
      <alignment horizontal="center" vertical="center" wrapText="1"/>
    </xf>
    <xf numFmtId="0" fontId="28" fillId="0" borderId="17" xfId="2" applyFont="1" applyBorder="1" applyAlignment="1">
      <alignment horizontal="center" vertical="center" wrapText="1"/>
    </xf>
    <xf numFmtId="0" fontId="28" fillId="0" borderId="18" xfId="2" applyFont="1" applyBorder="1" applyAlignment="1">
      <alignment horizontal="right" vertical="center" wrapText="1"/>
    </xf>
    <xf numFmtId="0" fontId="28" fillId="0" borderId="0" xfId="2" applyFont="1" applyAlignment="1">
      <alignment horizontal="right" vertical="center" wrapText="1"/>
    </xf>
    <xf numFmtId="0" fontId="29" fillId="0" borderId="0" xfId="2" applyFont="1" applyAlignment="1">
      <alignment horizontal="center" vertical="center" wrapText="1"/>
    </xf>
    <xf numFmtId="14" fontId="28" fillId="0" borderId="0" xfId="2" applyNumberFormat="1" applyFont="1" applyAlignment="1">
      <alignment horizontal="left" vertical="center" wrapText="1"/>
    </xf>
    <xf numFmtId="0" fontId="1" fillId="0" borderId="19" xfId="2" applyBorder="1"/>
    <xf numFmtId="0" fontId="30" fillId="0" borderId="18" xfId="2" applyFont="1" applyBorder="1" applyAlignment="1">
      <alignment horizontal="justify" vertical="center" wrapText="1"/>
    </xf>
    <xf numFmtId="0" fontId="30" fillId="0" borderId="0" xfId="2" applyFont="1" applyAlignment="1">
      <alignment horizontal="justify" vertical="center" wrapText="1"/>
    </xf>
    <xf numFmtId="0" fontId="30" fillId="0" borderId="19" xfId="2" applyFont="1" applyBorder="1" applyAlignment="1">
      <alignment horizontal="justify" vertical="center" wrapText="1"/>
    </xf>
    <xf numFmtId="0" fontId="31" fillId="12" borderId="20" xfId="2" applyFont="1" applyFill="1" applyBorder="1" applyAlignment="1">
      <alignment vertical="center" wrapText="1"/>
    </xf>
    <xf numFmtId="0" fontId="31" fillId="12" borderId="21" xfId="2" applyFont="1" applyFill="1" applyBorder="1" applyAlignment="1">
      <alignment vertical="center" wrapText="1"/>
    </xf>
    <xf numFmtId="1" fontId="32" fillId="12" borderId="22" xfId="2" applyNumberFormat="1" applyFont="1" applyFill="1" applyBorder="1" applyAlignment="1">
      <alignment vertical="center" wrapText="1"/>
    </xf>
    <xf numFmtId="0" fontId="32" fillId="12" borderId="22" xfId="2" applyFont="1" applyFill="1" applyBorder="1" applyAlignment="1">
      <alignment vertical="center" wrapText="1"/>
    </xf>
    <xf numFmtId="0" fontId="32" fillId="12" borderId="23" xfId="2" applyFont="1" applyFill="1" applyBorder="1" applyAlignment="1">
      <alignment vertical="center" wrapText="1"/>
    </xf>
    <xf numFmtId="14" fontId="32" fillId="12" borderId="22" xfId="2" applyNumberFormat="1" applyFont="1" applyFill="1" applyBorder="1" applyAlignment="1">
      <alignment horizontal="left" vertical="center" wrapText="1"/>
    </xf>
    <xf numFmtId="14" fontId="32" fillId="12" borderId="23" xfId="2" applyNumberFormat="1" applyFont="1" applyFill="1" applyBorder="1" applyAlignment="1">
      <alignment horizontal="left" vertical="center" wrapText="1"/>
    </xf>
    <xf numFmtId="0" fontId="31" fillId="12" borderId="24" xfId="2" applyFont="1" applyFill="1" applyBorder="1" applyAlignment="1">
      <alignment vertical="center" wrapText="1"/>
    </xf>
    <xf numFmtId="49" fontId="33" fillId="12" borderId="21" xfId="2" applyNumberFormat="1" applyFont="1" applyFill="1" applyBorder="1" applyAlignment="1">
      <alignment horizontal="right" vertical="center" wrapText="1"/>
    </xf>
    <xf numFmtId="0" fontId="33" fillId="12" borderId="22" xfId="2" applyFont="1" applyFill="1" applyBorder="1" applyAlignment="1">
      <alignment horizontal="right" vertical="center" wrapText="1"/>
    </xf>
    <xf numFmtId="49" fontId="33" fillId="12" borderId="0" xfId="2" applyNumberFormat="1" applyFont="1" applyFill="1" applyAlignment="1">
      <alignment horizontal="left" vertical="center" wrapText="1"/>
    </xf>
    <xf numFmtId="0" fontId="33" fillId="12" borderId="0" xfId="2" applyFont="1" applyFill="1" applyAlignment="1">
      <alignment horizontal="left" vertical="center" wrapText="1"/>
    </xf>
    <xf numFmtId="0" fontId="33" fillId="12" borderId="19" xfId="2" applyFont="1" applyFill="1" applyBorder="1" applyAlignment="1">
      <alignment horizontal="left" vertical="center" wrapText="1"/>
    </xf>
    <xf numFmtId="0" fontId="31" fillId="12" borderId="25" xfId="2" applyFont="1" applyFill="1" applyBorder="1" applyAlignment="1">
      <alignment vertical="center" wrapText="1"/>
    </xf>
    <xf numFmtId="0" fontId="31" fillId="12" borderId="22" xfId="2" applyFont="1" applyFill="1" applyBorder="1" applyAlignment="1">
      <alignment vertical="center" wrapText="1"/>
    </xf>
    <xf numFmtId="0" fontId="31" fillId="12" borderId="23" xfId="2" applyFont="1" applyFill="1" applyBorder="1" applyAlignment="1">
      <alignment vertical="center" wrapText="1"/>
    </xf>
    <xf numFmtId="0" fontId="31" fillId="12" borderId="26" xfId="2" applyFont="1" applyFill="1" applyBorder="1" applyAlignment="1">
      <alignment vertical="center" wrapText="1"/>
    </xf>
    <xf numFmtId="14" fontId="33" fillId="12" borderId="21" xfId="2" applyNumberFormat="1" applyFont="1" applyFill="1" applyBorder="1" applyAlignment="1">
      <alignment horizontal="right" vertical="center" wrapText="1"/>
    </xf>
    <xf numFmtId="14" fontId="33" fillId="12" borderId="22" xfId="2" applyNumberFormat="1" applyFont="1" applyFill="1" applyBorder="1" applyAlignment="1">
      <alignment horizontal="right" vertical="center" wrapText="1"/>
    </xf>
    <xf numFmtId="0" fontId="33" fillId="12" borderId="0" xfId="2" applyFont="1" applyFill="1" applyAlignment="1">
      <alignment horizontal="center" vertical="center" wrapText="1"/>
    </xf>
    <xf numFmtId="14" fontId="33" fillId="12" borderId="0" xfId="2" applyNumberFormat="1" applyFont="1" applyFill="1" applyAlignment="1">
      <alignment horizontal="left" vertical="center" wrapText="1"/>
    </xf>
    <xf numFmtId="0" fontId="33" fillId="12" borderId="22" xfId="2" applyFont="1" applyFill="1" applyBorder="1" applyAlignment="1">
      <alignment horizontal="left" vertical="center" wrapText="1" indent="1"/>
    </xf>
    <xf numFmtId="0" fontId="33" fillId="12" borderId="23" xfId="2" applyFont="1" applyFill="1" applyBorder="1" applyAlignment="1">
      <alignment horizontal="left" vertical="center" wrapText="1" indent="1"/>
    </xf>
    <xf numFmtId="0" fontId="33" fillId="12" borderId="27" xfId="2" applyFont="1" applyFill="1" applyBorder="1" applyAlignment="1">
      <alignment horizontal="left" vertical="center" wrapText="1" indent="1"/>
    </xf>
    <xf numFmtId="0" fontId="33" fillId="12" borderId="28" xfId="2" applyFont="1" applyFill="1" applyBorder="1" applyAlignment="1">
      <alignment horizontal="left" vertical="center" wrapText="1" indent="1"/>
    </xf>
    <xf numFmtId="0" fontId="31" fillId="12" borderId="29" xfId="2" applyFont="1" applyFill="1" applyBorder="1" applyAlignment="1">
      <alignment horizontal="left" vertical="center" wrapText="1"/>
    </xf>
    <xf numFmtId="0" fontId="34" fillId="12" borderId="0" xfId="2" applyFont="1" applyFill="1" applyAlignment="1">
      <alignment horizontal="left" vertical="center" wrapText="1"/>
    </xf>
    <xf numFmtId="0" fontId="34" fillId="12" borderId="19" xfId="2" applyFont="1" applyFill="1" applyBorder="1" applyAlignment="1">
      <alignment horizontal="left" vertical="center" wrapText="1"/>
    </xf>
    <xf numFmtId="0" fontId="31" fillId="12" borderId="30" xfId="2" applyFont="1" applyFill="1" applyBorder="1" applyAlignment="1">
      <alignment horizontal="left" vertical="center" wrapText="1"/>
    </xf>
    <xf numFmtId="49" fontId="31" fillId="12" borderId="0" xfId="2" applyNumberFormat="1" applyFont="1" applyFill="1" applyAlignment="1">
      <alignment vertical="center" wrapText="1"/>
    </xf>
    <xf numFmtId="49" fontId="32" fillId="12" borderId="0" xfId="2" applyNumberFormat="1" applyFont="1" applyFill="1" applyAlignment="1">
      <alignment horizontal="left" vertical="center" wrapText="1"/>
    </xf>
    <xf numFmtId="49" fontId="32" fillId="12" borderId="19" xfId="2" applyNumberFormat="1" applyFont="1" applyFill="1" applyBorder="1" applyAlignment="1">
      <alignment horizontal="left" vertical="center" wrapText="1"/>
    </xf>
    <xf numFmtId="0" fontId="31" fillId="13" borderId="31" xfId="2" applyFont="1" applyFill="1" applyBorder="1" applyAlignment="1">
      <alignment horizontal="center" vertical="center" wrapText="1"/>
    </xf>
    <xf numFmtId="0" fontId="31" fillId="13" borderId="32" xfId="2" applyFont="1" applyFill="1" applyBorder="1" applyAlignment="1">
      <alignment horizontal="center" vertical="center" wrapText="1"/>
    </xf>
    <xf numFmtId="0" fontId="31" fillId="13" borderId="33" xfId="2" applyFont="1" applyFill="1" applyBorder="1" applyAlignment="1">
      <alignment horizontal="center" vertical="center" wrapText="1"/>
    </xf>
    <xf numFmtId="0" fontId="31" fillId="13" borderId="34" xfId="2" applyFont="1" applyFill="1" applyBorder="1" applyAlignment="1">
      <alignment vertical="center" wrapText="1"/>
    </xf>
    <xf numFmtId="0" fontId="30" fillId="0" borderId="35" xfId="2" applyFont="1" applyBorder="1" applyAlignment="1">
      <alignment vertical="center" wrapText="1"/>
    </xf>
    <xf numFmtId="0" fontId="30" fillId="0" borderId="36" xfId="2" applyFont="1" applyBorder="1" applyAlignment="1">
      <alignment horizontal="center" vertical="center" wrapText="1"/>
    </xf>
    <xf numFmtId="0" fontId="30" fillId="0" borderId="37" xfId="2" applyFont="1" applyBorder="1" applyAlignment="1">
      <alignment horizontal="center" vertical="center" wrapText="1"/>
    </xf>
    <xf numFmtId="0" fontId="30" fillId="0" borderId="38" xfId="2" applyFont="1" applyBorder="1" applyAlignment="1">
      <alignment horizontal="center" vertical="center" wrapText="1"/>
    </xf>
    <xf numFmtId="168" fontId="35" fillId="0" borderId="19" xfId="2" applyNumberFormat="1" applyFont="1" applyBorder="1" applyAlignment="1">
      <alignment vertical="center" wrapText="1"/>
    </xf>
    <xf numFmtId="0" fontId="30" fillId="0" borderId="20" xfId="2" applyFont="1" applyBorder="1" applyAlignment="1">
      <alignment vertical="center" wrapText="1"/>
    </xf>
    <xf numFmtId="0" fontId="30" fillId="0" borderId="21" xfId="2" applyFont="1" applyBorder="1" applyAlignment="1">
      <alignment horizontal="left" vertical="center" wrapText="1" indent="1"/>
    </xf>
    <xf numFmtId="0" fontId="30" fillId="0" borderId="22" xfId="2" applyFont="1" applyBorder="1" applyAlignment="1">
      <alignment horizontal="left" vertical="center" wrapText="1" indent="1"/>
    </xf>
    <xf numFmtId="0" fontId="30" fillId="0" borderId="39" xfId="2" applyFont="1" applyBorder="1" applyAlignment="1">
      <alignment horizontal="left" vertical="center" wrapText="1" indent="1"/>
    </xf>
    <xf numFmtId="168" fontId="35" fillId="0" borderId="40" xfId="2" applyNumberFormat="1" applyFont="1" applyBorder="1" applyAlignment="1">
      <alignment vertical="center" wrapText="1"/>
    </xf>
    <xf numFmtId="168" fontId="35" fillId="0" borderId="41" xfId="2" applyNumberFormat="1" applyFont="1" applyBorder="1" applyAlignment="1">
      <alignment vertical="center" wrapText="1"/>
    </xf>
    <xf numFmtId="0" fontId="36" fillId="0" borderId="18" xfId="2" applyFont="1" applyBorder="1" applyAlignment="1">
      <alignment horizontal="left" wrapText="1" indent="1"/>
    </xf>
    <xf numFmtId="0" fontId="36" fillId="0" borderId="0" xfId="2" applyFont="1" applyAlignment="1">
      <alignment horizontal="left" wrapText="1" indent="1"/>
    </xf>
    <xf numFmtId="0" fontId="36" fillId="0" borderId="19" xfId="2" applyFont="1" applyBorder="1" applyAlignment="1">
      <alignment horizontal="left" wrapText="1" indent="1"/>
    </xf>
    <xf numFmtId="0" fontId="37" fillId="0" borderId="18" xfId="2" applyFont="1" applyBorder="1" applyAlignment="1">
      <alignment horizontal="justify" vertical="top" wrapText="1"/>
    </xf>
    <xf numFmtId="0" fontId="37" fillId="0" borderId="0" xfId="2" applyFont="1" applyAlignment="1">
      <alignment horizontal="justify" vertical="top" wrapText="1"/>
    </xf>
    <xf numFmtId="0" fontId="37" fillId="0" borderId="19" xfId="2" applyFont="1" applyBorder="1" applyAlignment="1">
      <alignment horizontal="justify" vertical="top" wrapText="1"/>
    </xf>
    <xf numFmtId="0" fontId="31" fillId="0" borderId="18" xfId="2" applyFont="1" applyBorder="1" applyAlignment="1">
      <alignment horizontal="justify" vertical="top" wrapText="1"/>
    </xf>
    <xf numFmtId="0" fontId="31" fillId="0" borderId="0" xfId="2" applyFont="1" applyAlignment="1">
      <alignment horizontal="justify" vertical="top" wrapText="1"/>
    </xf>
    <xf numFmtId="0" fontId="31" fillId="0" borderId="19" xfId="2" applyFont="1" applyBorder="1" applyAlignment="1">
      <alignment horizontal="justify" vertical="top" wrapText="1"/>
    </xf>
    <xf numFmtId="0" fontId="41" fillId="0" borderId="18" xfId="2" applyFont="1" applyBorder="1" applyAlignment="1">
      <alignment horizontal="justify" vertical="top" wrapText="1"/>
    </xf>
    <xf numFmtId="0" fontId="41" fillId="0" borderId="0" xfId="2" applyFont="1" applyAlignment="1">
      <alignment horizontal="justify" vertical="top" wrapText="1"/>
    </xf>
    <xf numFmtId="0" fontId="41" fillId="0" borderId="19" xfId="2" applyFont="1" applyBorder="1" applyAlignment="1">
      <alignment horizontal="justify" vertical="top" wrapText="1"/>
    </xf>
    <xf numFmtId="0" fontId="42" fillId="0" borderId="18" xfId="2" applyFont="1" applyBorder="1" applyAlignment="1">
      <alignment horizontal="justify" vertical="top" wrapText="1"/>
    </xf>
    <xf numFmtId="0" fontId="42" fillId="0" borderId="0" xfId="2" applyFont="1" applyAlignment="1">
      <alignment horizontal="justify" vertical="top" wrapText="1"/>
    </xf>
    <xf numFmtId="0" fontId="42" fillId="0" borderId="19" xfId="2" applyFont="1" applyBorder="1" applyAlignment="1">
      <alignment horizontal="justify" vertical="top" wrapText="1"/>
    </xf>
    <xf numFmtId="0" fontId="1" fillId="0" borderId="3" xfId="2" applyBorder="1"/>
    <xf numFmtId="0" fontId="1" fillId="0" borderId="0" xfId="2" applyAlignment="1">
      <alignment horizontal="left"/>
    </xf>
    <xf numFmtId="0" fontId="41" fillId="0" borderId="18" xfId="2" applyFont="1" applyBorder="1" applyAlignment="1">
      <alignment horizontal="left" wrapText="1"/>
    </xf>
    <xf numFmtId="0" fontId="41" fillId="0" borderId="0" xfId="2" applyFont="1" applyAlignment="1">
      <alignment horizontal="left" wrapText="1"/>
    </xf>
    <xf numFmtId="0" fontId="41" fillId="0" borderId="19" xfId="2" applyFont="1" applyBorder="1" applyAlignment="1">
      <alignment horizontal="left" wrapText="1"/>
    </xf>
    <xf numFmtId="0" fontId="37" fillId="0" borderId="42" xfId="2" applyFont="1" applyBorder="1" applyAlignment="1">
      <alignment horizontal="justify" wrapText="1"/>
    </xf>
    <xf numFmtId="0" fontId="37" fillId="0" borderId="43" xfId="2" applyFont="1" applyBorder="1" applyAlignment="1">
      <alignment horizontal="justify" wrapText="1"/>
    </xf>
    <xf numFmtId="0" fontId="37" fillId="0" borderId="44" xfId="2" applyFont="1" applyBorder="1" applyAlignment="1">
      <alignment horizontal="justify" wrapText="1"/>
    </xf>
    <xf numFmtId="49" fontId="31" fillId="12" borderId="0" xfId="2" applyNumberFormat="1" applyFont="1" applyFill="1" applyAlignment="1">
      <alignment horizontal="left" vertical="center" wrapText="1"/>
    </xf>
    <xf numFmtId="49" fontId="31" fillId="12" borderId="19" xfId="2" applyNumberFormat="1" applyFont="1" applyFill="1" applyBorder="1" applyAlignment="1">
      <alignment horizontal="left" vertical="center" wrapText="1"/>
    </xf>
    <xf numFmtId="0" fontId="47" fillId="12" borderId="45" xfId="0" applyFont="1" applyFill="1" applyBorder="1" applyAlignment="1">
      <alignment vertical="center" wrapText="1"/>
    </xf>
    <xf numFmtId="0" fontId="48" fillId="12" borderId="46" xfId="0" applyFont="1" applyFill="1" applyBorder="1" applyAlignment="1">
      <alignment horizontal="left" vertical="center" wrapText="1"/>
    </xf>
    <xf numFmtId="0" fontId="48" fillId="12" borderId="47" xfId="0" applyFont="1" applyFill="1" applyBorder="1" applyAlignment="1">
      <alignment horizontal="left" vertical="center" wrapText="1"/>
    </xf>
    <xf numFmtId="0" fontId="48" fillId="12" borderId="48" xfId="0" applyFont="1" applyFill="1" applyBorder="1" applyAlignment="1">
      <alignment horizontal="left" vertical="center" wrapText="1"/>
    </xf>
    <xf numFmtId="0" fontId="47" fillId="12" borderId="49" xfId="0" applyFont="1" applyFill="1" applyBorder="1" applyAlignment="1">
      <alignment horizontal="left" vertical="center" wrapText="1"/>
    </xf>
    <xf numFmtId="0" fontId="47" fillId="12" borderId="50" xfId="0" applyFont="1" applyFill="1" applyBorder="1" applyAlignment="1">
      <alignment horizontal="left" vertical="center" wrapText="1"/>
    </xf>
    <xf numFmtId="0" fontId="48" fillId="12" borderId="51" xfId="0" applyFont="1" applyFill="1" applyBorder="1" applyAlignment="1">
      <alignment vertical="center" wrapText="1"/>
    </xf>
    <xf numFmtId="0" fontId="48" fillId="12" borderId="37" xfId="0" applyFont="1" applyFill="1" applyBorder="1" applyAlignment="1">
      <alignment vertical="center" wrapText="1"/>
    </xf>
    <xf numFmtId="0" fontId="48" fillId="12" borderId="52" xfId="0" applyFont="1" applyFill="1" applyBorder="1" applyAlignment="1">
      <alignment vertical="center" wrapText="1"/>
    </xf>
    <xf numFmtId="0" fontId="47" fillId="0" borderId="53" xfId="0" applyFont="1" applyBorder="1" applyAlignment="1">
      <alignment vertical="center" wrapText="1"/>
    </xf>
    <xf numFmtId="0" fontId="47" fillId="0" borderId="54" xfId="0" applyFont="1" applyBorder="1" applyAlignment="1">
      <alignment vertical="center" wrapText="1"/>
    </xf>
    <xf numFmtId="0" fontId="47" fillId="0" borderId="55" xfId="0" applyFont="1" applyBorder="1" applyAlignment="1">
      <alignment vertical="center" wrapText="1"/>
    </xf>
  </cellXfs>
  <cellStyles count="4">
    <cellStyle name="Обычный" xfId="0" builtinId="0"/>
    <cellStyle name="Обычный 2" xfId="2" xr:uid="{FF198C79-8FDF-4847-AB50-65DFA32FD344}"/>
    <cellStyle name="Обычный 4" xfId="3" xr:uid="{675F5987-4126-4657-8AED-67466CBF1790}"/>
    <cellStyle name="Финансовый"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1143000</xdr:colOff>
      <xdr:row>30</xdr:row>
      <xdr:rowOff>99060</xdr:rowOff>
    </xdr:from>
    <xdr:to>
      <xdr:col>8</xdr:col>
      <xdr:colOff>708660</xdr:colOff>
      <xdr:row>37</xdr:row>
      <xdr:rowOff>289560</xdr:rowOff>
    </xdr:to>
    <xdr:pic>
      <xdr:nvPicPr>
        <xdr:cNvPr id="2" name="Рисунок 3">
          <a:extLst>
            <a:ext uri="{FF2B5EF4-FFF2-40B4-BE49-F238E27FC236}">
              <a16:creationId xmlns:a16="http://schemas.microsoft.com/office/drawing/2014/main" id="{0F4B3FA9-AD5E-419F-A453-697B85188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13020" y="9547860"/>
          <a:ext cx="1493520" cy="1424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1143000</xdr:colOff>
      <xdr:row>61</xdr:row>
      <xdr:rowOff>99060</xdr:rowOff>
    </xdr:from>
    <xdr:to>
      <xdr:col>8</xdr:col>
      <xdr:colOff>708660</xdr:colOff>
      <xdr:row>68</xdr:row>
      <xdr:rowOff>289560</xdr:rowOff>
    </xdr:to>
    <xdr:pic>
      <xdr:nvPicPr>
        <xdr:cNvPr id="3" name="Рисунок 3">
          <a:extLst>
            <a:ext uri="{FF2B5EF4-FFF2-40B4-BE49-F238E27FC236}">
              <a16:creationId xmlns:a16="http://schemas.microsoft.com/office/drawing/2014/main" id="{C621B012-9FA0-49D7-9311-9CD68FE48B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13020" y="19469100"/>
          <a:ext cx="1493520" cy="1424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1143000</xdr:colOff>
      <xdr:row>92</xdr:row>
      <xdr:rowOff>99060</xdr:rowOff>
    </xdr:from>
    <xdr:to>
      <xdr:col>8</xdr:col>
      <xdr:colOff>708660</xdr:colOff>
      <xdr:row>99</xdr:row>
      <xdr:rowOff>289560</xdr:rowOff>
    </xdr:to>
    <xdr:pic>
      <xdr:nvPicPr>
        <xdr:cNvPr id="4" name="Рисунок 3">
          <a:extLst>
            <a:ext uri="{FF2B5EF4-FFF2-40B4-BE49-F238E27FC236}">
              <a16:creationId xmlns:a16="http://schemas.microsoft.com/office/drawing/2014/main" id="{91720CEA-95D0-4ECB-AEA3-C9D4142B8A0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13020" y="29390340"/>
          <a:ext cx="1493520" cy="1424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1143000</xdr:colOff>
      <xdr:row>123</xdr:row>
      <xdr:rowOff>99060</xdr:rowOff>
    </xdr:from>
    <xdr:to>
      <xdr:col>8</xdr:col>
      <xdr:colOff>708660</xdr:colOff>
      <xdr:row>130</xdr:row>
      <xdr:rowOff>289560</xdr:rowOff>
    </xdr:to>
    <xdr:pic>
      <xdr:nvPicPr>
        <xdr:cNvPr id="5" name="Рисунок 3">
          <a:extLst>
            <a:ext uri="{FF2B5EF4-FFF2-40B4-BE49-F238E27FC236}">
              <a16:creationId xmlns:a16="http://schemas.microsoft.com/office/drawing/2014/main" id="{9685DFCD-F166-4594-9195-7C24089733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13020" y="39311580"/>
          <a:ext cx="1493520" cy="1424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1143000</xdr:colOff>
      <xdr:row>154</xdr:row>
      <xdr:rowOff>99060</xdr:rowOff>
    </xdr:from>
    <xdr:to>
      <xdr:col>8</xdr:col>
      <xdr:colOff>708660</xdr:colOff>
      <xdr:row>161</xdr:row>
      <xdr:rowOff>289560</xdr:rowOff>
    </xdr:to>
    <xdr:pic>
      <xdr:nvPicPr>
        <xdr:cNvPr id="6" name="Рисунок 3">
          <a:extLst>
            <a:ext uri="{FF2B5EF4-FFF2-40B4-BE49-F238E27FC236}">
              <a16:creationId xmlns:a16="http://schemas.microsoft.com/office/drawing/2014/main" id="{21484BC0-705A-4FC1-83A7-2A75E8026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13020" y="49232820"/>
          <a:ext cx="1493520" cy="1424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1057;&#1090;&#1088;&#1072;&#1093;&#1086;&#1074;&#1072;&#1085;&#1080;&#1077;/&#1056;&#1045;&#1057;&#1054;-&#1043;&#1072;&#1088;&#1072;&#1085;&#1090;&#1080;&#1103;/&#1053;&#1086;&#1074;&#1099;&#1081;%20&#1089;&#1087;&#1080;&#1089;&#1086;&#1082;%20&#1085;&#1072;%20&#1056;&#1045;&#1057;&#105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Загрузка данных в Citrix"/>
      <sheetName val="Полис"/>
      <sheetName val="Список застрахованных"/>
      <sheetName val="Тхэквондо ГТФ"/>
      <sheetName val="Тхэквондо ГТФ E-Champe"/>
      <sheetName val="Загрузка с E-Champe"/>
      <sheetName val="Лист2"/>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DD2A0-5D09-4219-B6C2-9145EE9A767B}">
  <sheetPr>
    <tabColor theme="7" tint="0.79998168889431442"/>
  </sheetPr>
  <dimension ref="A1:BB164"/>
  <sheetViews>
    <sheetView showGridLines="0" showZeros="0" tabSelected="1" view="pageBreakPreview" topLeftCell="A18" zoomScaleNormal="100" zoomScaleSheetLayoutView="100" workbookViewId="0">
      <selection activeCell="AS19" sqref="AS19:AY19"/>
    </sheetView>
  </sheetViews>
  <sheetFormatPr defaultRowHeight="13.2"/>
  <cols>
    <col min="1" max="1" width="2.296875" style="33" customWidth="1"/>
    <col min="2" max="2" width="7.3984375" style="33" customWidth="1"/>
    <col min="3" max="3" width="20.59765625" style="33" customWidth="1"/>
    <col min="4" max="4" width="2" style="33" customWidth="1"/>
    <col min="5" max="5" width="10.8984375" style="33" customWidth="1"/>
    <col min="6" max="6" width="4.09765625" style="33" customWidth="1"/>
    <col min="7" max="7" width="4.796875" style="33" customWidth="1"/>
    <col min="8" max="8" width="25.296875" style="33" customWidth="1"/>
    <col min="9" max="9" width="11.296875" style="33" customWidth="1"/>
    <col min="10" max="13" width="0" style="33" hidden="1" customWidth="1"/>
    <col min="14" max="14" width="10.19921875" style="33" customWidth="1"/>
    <col min="15" max="15" width="9.59765625" style="33" customWidth="1"/>
    <col min="16" max="18" width="0.8984375" style="33" customWidth="1"/>
    <col min="19" max="28" width="0.5" style="33" customWidth="1"/>
    <col min="29" max="41" width="8" style="33" hidden="1" customWidth="1"/>
    <col min="42" max="43" width="0.5" style="33" customWidth="1"/>
    <col min="44" max="44" width="13.5" style="33" customWidth="1"/>
    <col min="45" max="45" width="8.796875" style="33"/>
    <col min="46" max="47" width="9.09765625" style="33" bestFit="1" customWidth="1"/>
    <col min="48" max="48" width="4.69921875" style="33" customWidth="1"/>
    <col min="49" max="49" width="8.796875" style="33"/>
    <col min="50" max="50" width="0.59765625" style="33" customWidth="1"/>
    <col min="51" max="54" width="0.59765625" style="33" hidden="1" customWidth="1"/>
    <col min="55" max="55" width="0" style="33" hidden="1" customWidth="1"/>
    <col min="56" max="256" width="8.796875" style="33"/>
    <col min="257" max="257" width="2.296875" style="33" customWidth="1"/>
    <col min="258" max="258" width="7.3984375" style="33" customWidth="1"/>
    <col min="259" max="259" width="20.59765625" style="33" customWidth="1"/>
    <col min="260" max="260" width="2" style="33" customWidth="1"/>
    <col min="261" max="261" width="10.8984375" style="33" customWidth="1"/>
    <col min="262" max="262" width="4.09765625" style="33" customWidth="1"/>
    <col min="263" max="263" width="4.796875" style="33" customWidth="1"/>
    <col min="264" max="264" width="25.296875" style="33" customWidth="1"/>
    <col min="265" max="265" width="11.296875" style="33" customWidth="1"/>
    <col min="266" max="269" width="0" style="33" hidden="1" customWidth="1"/>
    <col min="270" max="270" width="10.19921875" style="33" customWidth="1"/>
    <col min="271" max="271" width="9.59765625" style="33" customWidth="1"/>
    <col min="272" max="274" width="0.8984375" style="33" customWidth="1"/>
    <col min="275" max="284" width="0.5" style="33" customWidth="1"/>
    <col min="285" max="297" width="0" style="33" hidden="1" customWidth="1"/>
    <col min="298" max="299" width="0.5" style="33" customWidth="1"/>
    <col min="300" max="300" width="13.5" style="33" customWidth="1"/>
    <col min="301" max="301" width="8.796875" style="33"/>
    <col min="302" max="303" width="9.09765625" style="33" bestFit="1" customWidth="1"/>
    <col min="304" max="304" width="4.69921875" style="33" customWidth="1"/>
    <col min="305" max="305" width="8.796875" style="33"/>
    <col min="306" max="306" width="0.59765625" style="33" customWidth="1"/>
    <col min="307" max="311" width="0" style="33" hidden="1" customWidth="1"/>
    <col min="312" max="512" width="8.796875" style="33"/>
    <col min="513" max="513" width="2.296875" style="33" customWidth="1"/>
    <col min="514" max="514" width="7.3984375" style="33" customWidth="1"/>
    <col min="515" max="515" width="20.59765625" style="33" customWidth="1"/>
    <col min="516" max="516" width="2" style="33" customWidth="1"/>
    <col min="517" max="517" width="10.8984375" style="33" customWidth="1"/>
    <col min="518" max="518" width="4.09765625" style="33" customWidth="1"/>
    <col min="519" max="519" width="4.796875" style="33" customWidth="1"/>
    <col min="520" max="520" width="25.296875" style="33" customWidth="1"/>
    <col min="521" max="521" width="11.296875" style="33" customWidth="1"/>
    <col min="522" max="525" width="0" style="33" hidden="1" customWidth="1"/>
    <col min="526" max="526" width="10.19921875" style="33" customWidth="1"/>
    <col min="527" max="527" width="9.59765625" style="33" customWidth="1"/>
    <col min="528" max="530" width="0.8984375" style="33" customWidth="1"/>
    <col min="531" max="540" width="0.5" style="33" customWidth="1"/>
    <col min="541" max="553" width="0" style="33" hidden="1" customWidth="1"/>
    <col min="554" max="555" width="0.5" style="33" customWidth="1"/>
    <col min="556" max="556" width="13.5" style="33" customWidth="1"/>
    <col min="557" max="557" width="8.796875" style="33"/>
    <col min="558" max="559" width="9.09765625" style="33" bestFit="1" customWidth="1"/>
    <col min="560" max="560" width="4.69921875" style="33" customWidth="1"/>
    <col min="561" max="561" width="8.796875" style="33"/>
    <col min="562" max="562" width="0.59765625" style="33" customWidth="1"/>
    <col min="563" max="567" width="0" style="33" hidden="1" customWidth="1"/>
    <col min="568" max="768" width="8.796875" style="33"/>
    <col min="769" max="769" width="2.296875" style="33" customWidth="1"/>
    <col min="770" max="770" width="7.3984375" style="33" customWidth="1"/>
    <col min="771" max="771" width="20.59765625" style="33" customWidth="1"/>
    <col min="772" max="772" width="2" style="33" customWidth="1"/>
    <col min="773" max="773" width="10.8984375" style="33" customWidth="1"/>
    <col min="774" max="774" width="4.09765625" style="33" customWidth="1"/>
    <col min="775" max="775" width="4.796875" style="33" customWidth="1"/>
    <col min="776" max="776" width="25.296875" style="33" customWidth="1"/>
    <col min="777" max="777" width="11.296875" style="33" customWidth="1"/>
    <col min="778" max="781" width="0" style="33" hidden="1" customWidth="1"/>
    <col min="782" max="782" width="10.19921875" style="33" customWidth="1"/>
    <col min="783" max="783" width="9.59765625" style="33" customWidth="1"/>
    <col min="784" max="786" width="0.8984375" style="33" customWidth="1"/>
    <col min="787" max="796" width="0.5" style="33" customWidth="1"/>
    <col min="797" max="809" width="0" style="33" hidden="1" customWidth="1"/>
    <col min="810" max="811" width="0.5" style="33" customWidth="1"/>
    <col min="812" max="812" width="13.5" style="33" customWidth="1"/>
    <col min="813" max="813" width="8.796875" style="33"/>
    <col min="814" max="815" width="9.09765625" style="33" bestFit="1" customWidth="1"/>
    <col min="816" max="816" width="4.69921875" style="33" customWidth="1"/>
    <col min="817" max="817" width="8.796875" style="33"/>
    <col min="818" max="818" width="0.59765625" style="33" customWidth="1"/>
    <col min="819" max="823" width="0" style="33" hidden="1" customWidth="1"/>
    <col min="824" max="1024" width="8.796875" style="33"/>
    <col min="1025" max="1025" width="2.296875" style="33" customWidth="1"/>
    <col min="1026" max="1026" width="7.3984375" style="33" customWidth="1"/>
    <col min="1027" max="1027" width="20.59765625" style="33" customWidth="1"/>
    <col min="1028" max="1028" width="2" style="33" customWidth="1"/>
    <col min="1029" max="1029" width="10.8984375" style="33" customWidth="1"/>
    <col min="1030" max="1030" width="4.09765625" style="33" customWidth="1"/>
    <col min="1031" max="1031" width="4.796875" style="33" customWidth="1"/>
    <col min="1032" max="1032" width="25.296875" style="33" customWidth="1"/>
    <col min="1033" max="1033" width="11.296875" style="33" customWidth="1"/>
    <col min="1034" max="1037" width="0" style="33" hidden="1" customWidth="1"/>
    <col min="1038" max="1038" width="10.19921875" style="33" customWidth="1"/>
    <col min="1039" max="1039" width="9.59765625" style="33" customWidth="1"/>
    <col min="1040" max="1042" width="0.8984375" style="33" customWidth="1"/>
    <col min="1043" max="1052" width="0.5" style="33" customWidth="1"/>
    <col min="1053" max="1065" width="0" style="33" hidden="1" customWidth="1"/>
    <col min="1066" max="1067" width="0.5" style="33" customWidth="1"/>
    <col min="1068" max="1068" width="13.5" style="33" customWidth="1"/>
    <col min="1069" max="1069" width="8.796875" style="33"/>
    <col min="1070" max="1071" width="9.09765625" style="33" bestFit="1" customWidth="1"/>
    <col min="1072" max="1072" width="4.69921875" style="33" customWidth="1"/>
    <col min="1073" max="1073" width="8.796875" style="33"/>
    <col min="1074" max="1074" width="0.59765625" style="33" customWidth="1"/>
    <col min="1075" max="1079" width="0" style="33" hidden="1" customWidth="1"/>
    <col min="1080" max="1280" width="8.796875" style="33"/>
    <col min="1281" max="1281" width="2.296875" style="33" customWidth="1"/>
    <col min="1282" max="1282" width="7.3984375" style="33" customWidth="1"/>
    <col min="1283" max="1283" width="20.59765625" style="33" customWidth="1"/>
    <col min="1284" max="1284" width="2" style="33" customWidth="1"/>
    <col min="1285" max="1285" width="10.8984375" style="33" customWidth="1"/>
    <col min="1286" max="1286" width="4.09765625" style="33" customWidth="1"/>
    <col min="1287" max="1287" width="4.796875" style="33" customWidth="1"/>
    <col min="1288" max="1288" width="25.296875" style="33" customWidth="1"/>
    <col min="1289" max="1289" width="11.296875" style="33" customWidth="1"/>
    <col min="1290" max="1293" width="0" style="33" hidden="1" customWidth="1"/>
    <col min="1294" max="1294" width="10.19921875" style="33" customWidth="1"/>
    <col min="1295" max="1295" width="9.59765625" style="33" customWidth="1"/>
    <col min="1296" max="1298" width="0.8984375" style="33" customWidth="1"/>
    <col min="1299" max="1308" width="0.5" style="33" customWidth="1"/>
    <col min="1309" max="1321" width="0" style="33" hidden="1" customWidth="1"/>
    <col min="1322" max="1323" width="0.5" style="33" customWidth="1"/>
    <col min="1324" max="1324" width="13.5" style="33" customWidth="1"/>
    <col min="1325" max="1325" width="8.796875" style="33"/>
    <col min="1326" max="1327" width="9.09765625" style="33" bestFit="1" customWidth="1"/>
    <col min="1328" max="1328" width="4.69921875" style="33" customWidth="1"/>
    <col min="1329" max="1329" width="8.796875" style="33"/>
    <col min="1330" max="1330" width="0.59765625" style="33" customWidth="1"/>
    <col min="1331" max="1335" width="0" style="33" hidden="1" customWidth="1"/>
    <col min="1336" max="1536" width="8.796875" style="33"/>
    <col min="1537" max="1537" width="2.296875" style="33" customWidth="1"/>
    <col min="1538" max="1538" width="7.3984375" style="33" customWidth="1"/>
    <col min="1539" max="1539" width="20.59765625" style="33" customWidth="1"/>
    <col min="1540" max="1540" width="2" style="33" customWidth="1"/>
    <col min="1541" max="1541" width="10.8984375" style="33" customWidth="1"/>
    <col min="1542" max="1542" width="4.09765625" style="33" customWidth="1"/>
    <col min="1543" max="1543" width="4.796875" style="33" customWidth="1"/>
    <col min="1544" max="1544" width="25.296875" style="33" customWidth="1"/>
    <col min="1545" max="1545" width="11.296875" style="33" customWidth="1"/>
    <col min="1546" max="1549" width="0" style="33" hidden="1" customWidth="1"/>
    <col min="1550" max="1550" width="10.19921875" style="33" customWidth="1"/>
    <col min="1551" max="1551" width="9.59765625" style="33" customWidth="1"/>
    <col min="1552" max="1554" width="0.8984375" style="33" customWidth="1"/>
    <col min="1555" max="1564" width="0.5" style="33" customWidth="1"/>
    <col min="1565" max="1577" width="0" style="33" hidden="1" customWidth="1"/>
    <col min="1578" max="1579" width="0.5" style="33" customWidth="1"/>
    <col min="1580" max="1580" width="13.5" style="33" customWidth="1"/>
    <col min="1581" max="1581" width="8.796875" style="33"/>
    <col min="1582" max="1583" width="9.09765625" style="33" bestFit="1" customWidth="1"/>
    <col min="1584" max="1584" width="4.69921875" style="33" customWidth="1"/>
    <col min="1585" max="1585" width="8.796875" style="33"/>
    <col min="1586" max="1586" width="0.59765625" style="33" customWidth="1"/>
    <col min="1587" max="1591" width="0" style="33" hidden="1" customWidth="1"/>
    <col min="1592" max="1792" width="8.796875" style="33"/>
    <col min="1793" max="1793" width="2.296875" style="33" customWidth="1"/>
    <col min="1794" max="1794" width="7.3984375" style="33" customWidth="1"/>
    <col min="1795" max="1795" width="20.59765625" style="33" customWidth="1"/>
    <col min="1796" max="1796" width="2" style="33" customWidth="1"/>
    <col min="1797" max="1797" width="10.8984375" style="33" customWidth="1"/>
    <col min="1798" max="1798" width="4.09765625" style="33" customWidth="1"/>
    <col min="1799" max="1799" width="4.796875" style="33" customWidth="1"/>
    <col min="1800" max="1800" width="25.296875" style="33" customWidth="1"/>
    <col min="1801" max="1801" width="11.296875" style="33" customWidth="1"/>
    <col min="1802" max="1805" width="0" style="33" hidden="1" customWidth="1"/>
    <col min="1806" max="1806" width="10.19921875" style="33" customWidth="1"/>
    <col min="1807" max="1807" width="9.59765625" style="33" customWidth="1"/>
    <col min="1808" max="1810" width="0.8984375" style="33" customWidth="1"/>
    <col min="1811" max="1820" width="0.5" style="33" customWidth="1"/>
    <col min="1821" max="1833" width="0" style="33" hidden="1" customWidth="1"/>
    <col min="1834" max="1835" width="0.5" style="33" customWidth="1"/>
    <col min="1836" max="1836" width="13.5" style="33" customWidth="1"/>
    <col min="1837" max="1837" width="8.796875" style="33"/>
    <col min="1838" max="1839" width="9.09765625" style="33" bestFit="1" customWidth="1"/>
    <col min="1840" max="1840" width="4.69921875" style="33" customWidth="1"/>
    <col min="1841" max="1841" width="8.796875" style="33"/>
    <col min="1842" max="1842" width="0.59765625" style="33" customWidth="1"/>
    <col min="1843" max="1847" width="0" style="33" hidden="1" customWidth="1"/>
    <col min="1848" max="2048" width="8.796875" style="33"/>
    <col min="2049" max="2049" width="2.296875" style="33" customWidth="1"/>
    <col min="2050" max="2050" width="7.3984375" style="33" customWidth="1"/>
    <col min="2051" max="2051" width="20.59765625" style="33" customWidth="1"/>
    <col min="2052" max="2052" width="2" style="33" customWidth="1"/>
    <col min="2053" max="2053" width="10.8984375" style="33" customWidth="1"/>
    <col min="2054" max="2054" width="4.09765625" style="33" customWidth="1"/>
    <col min="2055" max="2055" width="4.796875" style="33" customWidth="1"/>
    <col min="2056" max="2056" width="25.296875" style="33" customWidth="1"/>
    <col min="2057" max="2057" width="11.296875" style="33" customWidth="1"/>
    <col min="2058" max="2061" width="0" style="33" hidden="1" customWidth="1"/>
    <col min="2062" max="2062" width="10.19921875" style="33" customWidth="1"/>
    <col min="2063" max="2063" width="9.59765625" style="33" customWidth="1"/>
    <col min="2064" max="2066" width="0.8984375" style="33" customWidth="1"/>
    <col min="2067" max="2076" width="0.5" style="33" customWidth="1"/>
    <col min="2077" max="2089" width="0" style="33" hidden="1" customWidth="1"/>
    <col min="2090" max="2091" width="0.5" style="33" customWidth="1"/>
    <col min="2092" max="2092" width="13.5" style="33" customWidth="1"/>
    <col min="2093" max="2093" width="8.796875" style="33"/>
    <col min="2094" max="2095" width="9.09765625" style="33" bestFit="1" customWidth="1"/>
    <col min="2096" max="2096" width="4.69921875" style="33" customWidth="1"/>
    <col min="2097" max="2097" width="8.796875" style="33"/>
    <col min="2098" max="2098" width="0.59765625" style="33" customWidth="1"/>
    <col min="2099" max="2103" width="0" style="33" hidden="1" customWidth="1"/>
    <col min="2104" max="2304" width="8.796875" style="33"/>
    <col min="2305" max="2305" width="2.296875" style="33" customWidth="1"/>
    <col min="2306" max="2306" width="7.3984375" style="33" customWidth="1"/>
    <col min="2307" max="2307" width="20.59765625" style="33" customWidth="1"/>
    <col min="2308" max="2308" width="2" style="33" customWidth="1"/>
    <col min="2309" max="2309" width="10.8984375" style="33" customWidth="1"/>
    <col min="2310" max="2310" width="4.09765625" style="33" customWidth="1"/>
    <col min="2311" max="2311" width="4.796875" style="33" customWidth="1"/>
    <col min="2312" max="2312" width="25.296875" style="33" customWidth="1"/>
    <col min="2313" max="2313" width="11.296875" style="33" customWidth="1"/>
    <col min="2314" max="2317" width="0" style="33" hidden="1" customWidth="1"/>
    <col min="2318" max="2318" width="10.19921875" style="33" customWidth="1"/>
    <col min="2319" max="2319" width="9.59765625" style="33" customWidth="1"/>
    <col min="2320" max="2322" width="0.8984375" style="33" customWidth="1"/>
    <col min="2323" max="2332" width="0.5" style="33" customWidth="1"/>
    <col min="2333" max="2345" width="0" style="33" hidden="1" customWidth="1"/>
    <col min="2346" max="2347" width="0.5" style="33" customWidth="1"/>
    <col min="2348" max="2348" width="13.5" style="33" customWidth="1"/>
    <col min="2349" max="2349" width="8.796875" style="33"/>
    <col min="2350" max="2351" width="9.09765625" style="33" bestFit="1" customWidth="1"/>
    <col min="2352" max="2352" width="4.69921875" style="33" customWidth="1"/>
    <col min="2353" max="2353" width="8.796875" style="33"/>
    <col min="2354" max="2354" width="0.59765625" style="33" customWidth="1"/>
    <col min="2355" max="2359" width="0" style="33" hidden="1" customWidth="1"/>
    <col min="2360" max="2560" width="8.796875" style="33"/>
    <col min="2561" max="2561" width="2.296875" style="33" customWidth="1"/>
    <col min="2562" max="2562" width="7.3984375" style="33" customWidth="1"/>
    <col min="2563" max="2563" width="20.59765625" style="33" customWidth="1"/>
    <col min="2564" max="2564" width="2" style="33" customWidth="1"/>
    <col min="2565" max="2565" width="10.8984375" style="33" customWidth="1"/>
    <col min="2566" max="2566" width="4.09765625" style="33" customWidth="1"/>
    <col min="2567" max="2567" width="4.796875" style="33" customWidth="1"/>
    <col min="2568" max="2568" width="25.296875" style="33" customWidth="1"/>
    <col min="2569" max="2569" width="11.296875" style="33" customWidth="1"/>
    <col min="2570" max="2573" width="0" style="33" hidden="1" customWidth="1"/>
    <col min="2574" max="2574" width="10.19921875" style="33" customWidth="1"/>
    <col min="2575" max="2575" width="9.59765625" style="33" customWidth="1"/>
    <col min="2576" max="2578" width="0.8984375" style="33" customWidth="1"/>
    <col min="2579" max="2588" width="0.5" style="33" customWidth="1"/>
    <col min="2589" max="2601" width="0" style="33" hidden="1" customWidth="1"/>
    <col min="2602" max="2603" width="0.5" style="33" customWidth="1"/>
    <col min="2604" max="2604" width="13.5" style="33" customWidth="1"/>
    <col min="2605" max="2605" width="8.796875" style="33"/>
    <col min="2606" max="2607" width="9.09765625" style="33" bestFit="1" customWidth="1"/>
    <col min="2608" max="2608" width="4.69921875" style="33" customWidth="1"/>
    <col min="2609" max="2609" width="8.796875" style="33"/>
    <col min="2610" max="2610" width="0.59765625" style="33" customWidth="1"/>
    <col min="2611" max="2615" width="0" style="33" hidden="1" customWidth="1"/>
    <col min="2616" max="2816" width="8.796875" style="33"/>
    <col min="2817" max="2817" width="2.296875" style="33" customWidth="1"/>
    <col min="2818" max="2818" width="7.3984375" style="33" customWidth="1"/>
    <col min="2819" max="2819" width="20.59765625" style="33" customWidth="1"/>
    <col min="2820" max="2820" width="2" style="33" customWidth="1"/>
    <col min="2821" max="2821" width="10.8984375" style="33" customWidth="1"/>
    <col min="2822" max="2822" width="4.09765625" style="33" customWidth="1"/>
    <col min="2823" max="2823" width="4.796875" style="33" customWidth="1"/>
    <col min="2824" max="2824" width="25.296875" style="33" customWidth="1"/>
    <col min="2825" max="2825" width="11.296875" style="33" customWidth="1"/>
    <col min="2826" max="2829" width="0" style="33" hidden="1" customWidth="1"/>
    <col min="2830" max="2830" width="10.19921875" style="33" customWidth="1"/>
    <col min="2831" max="2831" width="9.59765625" style="33" customWidth="1"/>
    <col min="2832" max="2834" width="0.8984375" style="33" customWidth="1"/>
    <col min="2835" max="2844" width="0.5" style="33" customWidth="1"/>
    <col min="2845" max="2857" width="0" style="33" hidden="1" customWidth="1"/>
    <col min="2858" max="2859" width="0.5" style="33" customWidth="1"/>
    <col min="2860" max="2860" width="13.5" style="33" customWidth="1"/>
    <col min="2861" max="2861" width="8.796875" style="33"/>
    <col min="2862" max="2863" width="9.09765625" style="33" bestFit="1" customWidth="1"/>
    <col min="2864" max="2864" width="4.69921875" style="33" customWidth="1"/>
    <col min="2865" max="2865" width="8.796875" style="33"/>
    <col min="2866" max="2866" width="0.59765625" style="33" customWidth="1"/>
    <col min="2867" max="2871" width="0" style="33" hidden="1" customWidth="1"/>
    <col min="2872" max="3072" width="8.796875" style="33"/>
    <col min="3073" max="3073" width="2.296875" style="33" customWidth="1"/>
    <col min="3074" max="3074" width="7.3984375" style="33" customWidth="1"/>
    <col min="3075" max="3075" width="20.59765625" style="33" customWidth="1"/>
    <col min="3076" max="3076" width="2" style="33" customWidth="1"/>
    <col min="3077" max="3077" width="10.8984375" style="33" customWidth="1"/>
    <col min="3078" max="3078" width="4.09765625" style="33" customWidth="1"/>
    <col min="3079" max="3079" width="4.796875" style="33" customWidth="1"/>
    <col min="3080" max="3080" width="25.296875" style="33" customWidth="1"/>
    <col min="3081" max="3081" width="11.296875" style="33" customWidth="1"/>
    <col min="3082" max="3085" width="0" style="33" hidden="1" customWidth="1"/>
    <col min="3086" max="3086" width="10.19921875" style="33" customWidth="1"/>
    <col min="3087" max="3087" width="9.59765625" style="33" customWidth="1"/>
    <col min="3088" max="3090" width="0.8984375" style="33" customWidth="1"/>
    <col min="3091" max="3100" width="0.5" style="33" customWidth="1"/>
    <col min="3101" max="3113" width="0" style="33" hidden="1" customWidth="1"/>
    <col min="3114" max="3115" width="0.5" style="33" customWidth="1"/>
    <col min="3116" max="3116" width="13.5" style="33" customWidth="1"/>
    <col min="3117" max="3117" width="8.796875" style="33"/>
    <col min="3118" max="3119" width="9.09765625" style="33" bestFit="1" customWidth="1"/>
    <col min="3120" max="3120" width="4.69921875" style="33" customWidth="1"/>
    <col min="3121" max="3121" width="8.796875" style="33"/>
    <col min="3122" max="3122" width="0.59765625" style="33" customWidth="1"/>
    <col min="3123" max="3127" width="0" style="33" hidden="1" customWidth="1"/>
    <col min="3128" max="3328" width="8.796875" style="33"/>
    <col min="3329" max="3329" width="2.296875" style="33" customWidth="1"/>
    <col min="3330" max="3330" width="7.3984375" style="33" customWidth="1"/>
    <col min="3331" max="3331" width="20.59765625" style="33" customWidth="1"/>
    <col min="3332" max="3332" width="2" style="33" customWidth="1"/>
    <col min="3333" max="3333" width="10.8984375" style="33" customWidth="1"/>
    <col min="3334" max="3334" width="4.09765625" style="33" customWidth="1"/>
    <col min="3335" max="3335" width="4.796875" style="33" customWidth="1"/>
    <col min="3336" max="3336" width="25.296875" style="33" customWidth="1"/>
    <col min="3337" max="3337" width="11.296875" style="33" customWidth="1"/>
    <col min="3338" max="3341" width="0" style="33" hidden="1" customWidth="1"/>
    <col min="3342" max="3342" width="10.19921875" style="33" customWidth="1"/>
    <col min="3343" max="3343" width="9.59765625" style="33" customWidth="1"/>
    <col min="3344" max="3346" width="0.8984375" style="33" customWidth="1"/>
    <col min="3347" max="3356" width="0.5" style="33" customWidth="1"/>
    <col min="3357" max="3369" width="0" style="33" hidden="1" customWidth="1"/>
    <col min="3370" max="3371" width="0.5" style="33" customWidth="1"/>
    <col min="3372" max="3372" width="13.5" style="33" customWidth="1"/>
    <col min="3373" max="3373" width="8.796875" style="33"/>
    <col min="3374" max="3375" width="9.09765625" style="33" bestFit="1" customWidth="1"/>
    <col min="3376" max="3376" width="4.69921875" style="33" customWidth="1"/>
    <col min="3377" max="3377" width="8.796875" style="33"/>
    <col min="3378" max="3378" width="0.59765625" style="33" customWidth="1"/>
    <col min="3379" max="3383" width="0" style="33" hidden="1" customWidth="1"/>
    <col min="3384" max="3584" width="8.796875" style="33"/>
    <col min="3585" max="3585" width="2.296875" style="33" customWidth="1"/>
    <col min="3586" max="3586" width="7.3984375" style="33" customWidth="1"/>
    <col min="3587" max="3587" width="20.59765625" style="33" customWidth="1"/>
    <col min="3588" max="3588" width="2" style="33" customWidth="1"/>
    <col min="3589" max="3589" width="10.8984375" style="33" customWidth="1"/>
    <col min="3590" max="3590" width="4.09765625" style="33" customWidth="1"/>
    <col min="3591" max="3591" width="4.796875" style="33" customWidth="1"/>
    <col min="3592" max="3592" width="25.296875" style="33" customWidth="1"/>
    <col min="3593" max="3593" width="11.296875" style="33" customWidth="1"/>
    <col min="3594" max="3597" width="0" style="33" hidden="1" customWidth="1"/>
    <col min="3598" max="3598" width="10.19921875" style="33" customWidth="1"/>
    <col min="3599" max="3599" width="9.59765625" style="33" customWidth="1"/>
    <col min="3600" max="3602" width="0.8984375" style="33" customWidth="1"/>
    <col min="3603" max="3612" width="0.5" style="33" customWidth="1"/>
    <col min="3613" max="3625" width="0" style="33" hidden="1" customWidth="1"/>
    <col min="3626" max="3627" width="0.5" style="33" customWidth="1"/>
    <col min="3628" max="3628" width="13.5" style="33" customWidth="1"/>
    <col min="3629" max="3629" width="8.796875" style="33"/>
    <col min="3630" max="3631" width="9.09765625" style="33" bestFit="1" customWidth="1"/>
    <col min="3632" max="3632" width="4.69921875" style="33" customWidth="1"/>
    <col min="3633" max="3633" width="8.796875" style="33"/>
    <col min="3634" max="3634" width="0.59765625" style="33" customWidth="1"/>
    <col min="3635" max="3639" width="0" style="33" hidden="1" customWidth="1"/>
    <col min="3640" max="3840" width="8.796875" style="33"/>
    <col min="3841" max="3841" width="2.296875" style="33" customWidth="1"/>
    <col min="3842" max="3842" width="7.3984375" style="33" customWidth="1"/>
    <col min="3843" max="3843" width="20.59765625" style="33" customWidth="1"/>
    <col min="3844" max="3844" width="2" style="33" customWidth="1"/>
    <col min="3845" max="3845" width="10.8984375" style="33" customWidth="1"/>
    <col min="3846" max="3846" width="4.09765625" style="33" customWidth="1"/>
    <col min="3847" max="3847" width="4.796875" style="33" customWidth="1"/>
    <col min="3848" max="3848" width="25.296875" style="33" customWidth="1"/>
    <col min="3849" max="3849" width="11.296875" style="33" customWidth="1"/>
    <col min="3850" max="3853" width="0" style="33" hidden="1" customWidth="1"/>
    <col min="3854" max="3854" width="10.19921875" style="33" customWidth="1"/>
    <col min="3855" max="3855" width="9.59765625" style="33" customWidth="1"/>
    <col min="3856" max="3858" width="0.8984375" style="33" customWidth="1"/>
    <col min="3859" max="3868" width="0.5" style="33" customWidth="1"/>
    <col min="3869" max="3881" width="0" style="33" hidden="1" customWidth="1"/>
    <col min="3882" max="3883" width="0.5" style="33" customWidth="1"/>
    <col min="3884" max="3884" width="13.5" style="33" customWidth="1"/>
    <col min="3885" max="3885" width="8.796875" style="33"/>
    <col min="3886" max="3887" width="9.09765625" style="33" bestFit="1" customWidth="1"/>
    <col min="3888" max="3888" width="4.69921875" style="33" customWidth="1"/>
    <col min="3889" max="3889" width="8.796875" style="33"/>
    <col min="3890" max="3890" width="0.59765625" style="33" customWidth="1"/>
    <col min="3891" max="3895" width="0" style="33" hidden="1" customWidth="1"/>
    <col min="3896" max="4096" width="8.796875" style="33"/>
    <col min="4097" max="4097" width="2.296875" style="33" customWidth="1"/>
    <col min="4098" max="4098" width="7.3984375" style="33" customWidth="1"/>
    <col min="4099" max="4099" width="20.59765625" style="33" customWidth="1"/>
    <col min="4100" max="4100" width="2" style="33" customWidth="1"/>
    <col min="4101" max="4101" width="10.8984375" style="33" customWidth="1"/>
    <col min="4102" max="4102" width="4.09765625" style="33" customWidth="1"/>
    <col min="4103" max="4103" width="4.796875" style="33" customWidth="1"/>
    <col min="4104" max="4104" width="25.296875" style="33" customWidth="1"/>
    <col min="4105" max="4105" width="11.296875" style="33" customWidth="1"/>
    <col min="4106" max="4109" width="0" style="33" hidden="1" customWidth="1"/>
    <col min="4110" max="4110" width="10.19921875" style="33" customWidth="1"/>
    <col min="4111" max="4111" width="9.59765625" style="33" customWidth="1"/>
    <col min="4112" max="4114" width="0.8984375" style="33" customWidth="1"/>
    <col min="4115" max="4124" width="0.5" style="33" customWidth="1"/>
    <col min="4125" max="4137" width="0" style="33" hidden="1" customWidth="1"/>
    <col min="4138" max="4139" width="0.5" style="33" customWidth="1"/>
    <col min="4140" max="4140" width="13.5" style="33" customWidth="1"/>
    <col min="4141" max="4141" width="8.796875" style="33"/>
    <col min="4142" max="4143" width="9.09765625" style="33" bestFit="1" customWidth="1"/>
    <col min="4144" max="4144" width="4.69921875" style="33" customWidth="1"/>
    <col min="4145" max="4145" width="8.796875" style="33"/>
    <col min="4146" max="4146" width="0.59765625" style="33" customWidth="1"/>
    <col min="4147" max="4151" width="0" style="33" hidden="1" customWidth="1"/>
    <col min="4152" max="4352" width="8.796875" style="33"/>
    <col min="4353" max="4353" width="2.296875" style="33" customWidth="1"/>
    <col min="4354" max="4354" width="7.3984375" style="33" customWidth="1"/>
    <col min="4355" max="4355" width="20.59765625" style="33" customWidth="1"/>
    <col min="4356" max="4356" width="2" style="33" customWidth="1"/>
    <col min="4357" max="4357" width="10.8984375" style="33" customWidth="1"/>
    <col min="4358" max="4358" width="4.09765625" style="33" customWidth="1"/>
    <col min="4359" max="4359" width="4.796875" style="33" customWidth="1"/>
    <col min="4360" max="4360" width="25.296875" style="33" customWidth="1"/>
    <col min="4361" max="4361" width="11.296875" style="33" customWidth="1"/>
    <col min="4362" max="4365" width="0" style="33" hidden="1" customWidth="1"/>
    <col min="4366" max="4366" width="10.19921875" style="33" customWidth="1"/>
    <col min="4367" max="4367" width="9.59765625" style="33" customWidth="1"/>
    <col min="4368" max="4370" width="0.8984375" style="33" customWidth="1"/>
    <col min="4371" max="4380" width="0.5" style="33" customWidth="1"/>
    <col min="4381" max="4393" width="0" style="33" hidden="1" customWidth="1"/>
    <col min="4394" max="4395" width="0.5" style="33" customWidth="1"/>
    <col min="4396" max="4396" width="13.5" style="33" customWidth="1"/>
    <col min="4397" max="4397" width="8.796875" style="33"/>
    <col min="4398" max="4399" width="9.09765625" style="33" bestFit="1" customWidth="1"/>
    <col min="4400" max="4400" width="4.69921875" style="33" customWidth="1"/>
    <col min="4401" max="4401" width="8.796875" style="33"/>
    <col min="4402" max="4402" width="0.59765625" style="33" customWidth="1"/>
    <col min="4403" max="4407" width="0" style="33" hidden="1" customWidth="1"/>
    <col min="4408" max="4608" width="8.796875" style="33"/>
    <col min="4609" max="4609" width="2.296875" style="33" customWidth="1"/>
    <col min="4610" max="4610" width="7.3984375" style="33" customWidth="1"/>
    <col min="4611" max="4611" width="20.59765625" style="33" customWidth="1"/>
    <col min="4612" max="4612" width="2" style="33" customWidth="1"/>
    <col min="4613" max="4613" width="10.8984375" style="33" customWidth="1"/>
    <col min="4614" max="4614" width="4.09765625" style="33" customWidth="1"/>
    <col min="4615" max="4615" width="4.796875" style="33" customWidth="1"/>
    <col min="4616" max="4616" width="25.296875" style="33" customWidth="1"/>
    <col min="4617" max="4617" width="11.296875" style="33" customWidth="1"/>
    <col min="4618" max="4621" width="0" style="33" hidden="1" customWidth="1"/>
    <col min="4622" max="4622" width="10.19921875" style="33" customWidth="1"/>
    <col min="4623" max="4623" width="9.59765625" style="33" customWidth="1"/>
    <col min="4624" max="4626" width="0.8984375" style="33" customWidth="1"/>
    <col min="4627" max="4636" width="0.5" style="33" customWidth="1"/>
    <col min="4637" max="4649" width="0" style="33" hidden="1" customWidth="1"/>
    <col min="4650" max="4651" width="0.5" style="33" customWidth="1"/>
    <col min="4652" max="4652" width="13.5" style="33" customWidth="1"/>
    <col min="4653" max="4653" width="8.796875" style="33"/>
    <col min="4654" max="4655" width="9.09765625" style="33" bestFit="1" customWidth="1"/>
    <col min="4656" max="4656" width="4.69921875" style="33" customWidth="1"/>
    <col min="4657" max="4657" width="8.796875" style="33"/>
    <col min="4658" max="4658" width="0.59765625" style="33" customWidth="1"/>
    <col min="4659" max="4663" width="0" style="33" hidden="1" customWidth="1"/>
    <col min="4664" max="4864" width="8.796875" style="33"/>
    <col min="4865" max="4865" width="2.296875" style="33" customWidth="1"/>
    <col min="4866" max="4866" width="7.3984375" style="33" customWidth="1"/>
    <col min="4867" max="4867" width="20.59765625" style="33" customWidth="1"/>
    <col min="4868" max="4868" width="2" style="33" customWidth="1"/>
    <col min="4869" max="4869" width="10.8984375" style="33" customWidth="1"/>
    <col min="4870" max="4870" width="4.09765625" style="33" customWidth="1"/>
    <col min="4871" max="4871" width="4.796875" style="33" customWidth="1"/>
    <col min="4872" max="4872" width="25.296875" style="33" customWidth="1"/>
    <col min="4873" max="4873" width="11.296875" style="33" customWidth="1"/>
    <col min="4874" max="4877" width="0" style="33" hidden="1" customWidth="1"/>
    <col min="4878" max="4878" width="10.19921875" style="33" customWidth="1"/>
    <col min="4879" max="4879" width="9.59765625" style="33" customWidth="1"/>
    <col min="4880" max="4882" width="0.8984375" style="33" customWidth="1"/>
    <col min="4883" max="4892" width="0.5" style="33" customWidth="1"/>
    <col min="4893" max="4905" width="0" style="33" hidden="1" customWidth="1"/>
    <col min="4906" max="4907" width="0.5" style="33" customWidth="1"/>
    <col min="4908" max="4908" width="13.5" style="33" customWidth="1"/>
    <col min="4909" max="4909" width="8.796875" style="33"/>
    <col min="4910" max="4911" width="9.09765625" style="33" bestFit="1" customWidth="1"/>
    <col min="4912" max="4912" width="4.69921875" style="33" customWidth="1"/>
    <col min="4913" max="4913" width="8.796875" style="33"/>
    <col min="4914" max="4914" width="0.59765625" style="33" customWidth="1"/>
    <col min="4915" max="4919" width="0" style="33" hidden="1" customWidth="1"/>
    <col min="4920" max="5120" width="8.796875" style="33"/>
    <col min="5121" max="5121" width="2.296875" style="33" customWidth="1"/>
    <col min="5122" max="5122" width="7.3984375" style="33" customWidth="1"/>
    <col min="5123" max="5123" width="20.59765625" style="33" customWidth="1"/>
    <col min="5124" max="5124" width="2" style="33" customWidth="1"/>
    <col min="5125" max="5125" width="10.8984375" style="33" customWidth="1"/>
    <col min="5126" max="5126" width="4.09765625" style="33" customWidth="1"/>
    <col min="5127" max="5127" width="4.796875" style="33" customWidth="1"/>
    <col min="5128" max="5128" width="25.296875" style="33" customWidth="1"/>
    <col min="5129" max="5129" width="11.296875" style="33" customWidth="1"/>
    <col min="5130" max="5133" width="0" style="33" hidden="1" customWidth="1"/>
    <col min="5134" max="5134" width="10.19921875" style="33" customWidth="1"/>
    <col min="5135" max="5135" width="9.59765625" style="33" customWidth="1"/>
    <col min="5136" max="5138" width="0.8984375" style="33" customWidth="1"/>
    <col min="5139" max="5148" width="0.5" style="33" customWidth="1"/>
    <col min="5149" max="5161" width="0" style="33" hidden="1" customWidth="1"/>
    <col min="5162" max="5163" width="0.5" style="33" customWidth="1"/>
    <col min="5164" max="5164" width="13.5" style="33" customWidth="1"/>
    <col min="5165" max="5165" width="8.796875" style="33"/>
    <col min="5166" max="5167" width="9.09765625" style="33" bestFit="1" customWidth="1"/>
    <col min="5168" max="5168" width="4.69921875" style="33" customWidth="1"/>
    <col min="5169" max="5169" width="8.796875" style="33"/>
    <col min="5170" max="5170" width="0.59765625" style="33" customWidth="1"/>
    <col min="5171" max="5175" width="0" style="33" hidden="1" customWidth="1"/>
    <col min="5176" max="5376" width="8.796875" style="33"/>
    <col min="5377" max="5377" width="2.296875" style="33" customWidth="1"/>
    <col min="5378" max="5378" width="7.3984375" style="33" customWidth="1"/>
    <col min="5379" max="5379" width="20.59765625" style="33" customWidth="1"/>
    <col min="5380" max="5380" width="2" style="33" customWidth="1"/>
    <col min="5381" max="5381" width="10.8984375" style="33" customWidth="1"/>
    <col min="5382" max="5382" width="4.09765625" style="33" customWidth="1"/>
    <col min="5383" max="5383" width="4.796875" style="33" customWidth="1"/>
    <col min="5384" max="5384" width="25.296875" style="33" customWidth="1"/>
    <col min="5385" max="5385" width="11.296875" style="33" customWidth="1"/>
    <col min="5386" max="5389" width="0" style="33" hidden="1" customWidth="1"/>
    <col min="5390" max="5390" width="10.19921875" style="33" customWidth="1"/>
    <col min="5391" max="5391" width="9.59765625" style="33" customWidth="1"/>
    <col min="5392" max="5394" width="0.8984375" style="33" customWidth="1"/>
    <col min="5395" max="5404" width="0.5" style="33" customWidth="1"/>
    <col min="5405" max="5417" width="0" style="33" hidden="1" customWidth="1"/>
    <col min="5418" max="5419" width="0.5" style="33" customWidth="1"/>
    <col min="5420" max="5420" width="13.5" style="33" customWidth="1"/>
    <col min="5421" max="5421" width="8.796875" style="33"/>
    <col min="5422" max="5423" width="9.09765625" style="33" bestFit="1" customWidth="1"/>
    <col min="5424" max="5424" width="4.69921875" style="33" customWidth="1"/>
    <col min="5425" max="5425" width="8.796875" style="33"/>
    <col min="5426" max="5426" width="0.59765625" style="33" customWidth="1"/>
    <col min="5427" max="5431" width="0" style="33" hidden="1" customWidth="1"/>
    <col min="5432" max="5632" width="8.796875" style="33"/>
    <col min="5633" max="5633" width="2.296875" style="33" customWidth="1"/>
    <col min="5634" max="5634" width="7.3984375" style="33" customWidth="1"/>
    <col min="5635" max="5635" width="20.59765625" style="33" customWidth="1"/>
    <col min="5636" max="5636" width="2" style="33" customWidth="1"/>
    <col min="5637" max="5637" width="10.8984375" style="33" customWidth="1"/>
    <col min="5638" max="5638" width="4.09765625" style="33" customWidth="1"/>
    <col min="5639" max="5639" width="4.796875" style="33" customWidth="1"/>
    <col min="5640" max="5640" width="25.296875" style="33" customWidth="1"/>
    <col min="5641" max="5641" width="11.296875" style="33" customWidth="1"/>
    <col min="5642" max="5645" width="0" style="33" hidden="1" customWidth="1"/>
    <col min="5646" max="5646" width="10.19921875" style="33" customWidth="1"/>
    <col min="5647" max="5647" width="9.59765625" style="33" customWidth="1"/>
    <col min="5648" max="5650" width="0.8984375" style="33" customWidth="1"/>
    <col min="5651" max="5660" width="0.5" style="33" customWidth="1"/>
    <col min="5661" max="5673" width="0" style="33" hidden="1" customWidth="1"/>
    <col min="5674" max="5675" width="0.5" style="33" customWidth="1"/>
    <col min="5676" max="5676" width="13.5" style="33" customWidth="1"/>
    <col min="5677" max="5677" width="8.796875" style="33"/>
    <col min="5678" max="5679" width="9.09765625" style="33" bestFit="1" customWidth="1"/>
    <col min="5680" max="5680" width="4.69921875" style="33" customWidth="1"/>
    <col min="5681" max="5681" width="8.796875" style="33"/>
    <col min="5682" max="5682" width="0.59765625" style="33" customWidth="1"/>
    <col min="5683" max="5687" width="0" style="33" hidden="1" customWidth="1"/>
    <col min="5688" max="5888" width="8.796875" style="33"/>
    <col min="5889" max="5889" width="2.296875" style="33" customWidth="1"/>
    <col min="5890" max="5890" width="7.3984375" style="33" customWidth="1"/>
    <col min="5891" max="5891" width="20.59765625" style="33" customWidth="1"/>
    <col min="5892" max="5892" width="2" style="33" customWidth="1"/>
    <col min="5893" max="5893" width="10.8984375" style="33" customWidth="1"/>
    <col min="5894" max="5894" width="4.09765625" style="33" customWidth="1"/>
    <col min="5895" max="5895" width="4.796875" style="33" customWidth="1"/>
    <col min="5896" max="5896" width="25.296875" style="33" customWidth="1"/>
    <col min="5897" max="5897" width="11.296875" style="33" customWidth="1"/>
    <col min="5898" max="5901" width="0" style="33" hidden="1" customWidth="1"/>
    <col min="5902" max="5902" width="10.19921875" style="33" customWidth="1"/>
    <col min="5903" max="5903" width="9.59765625" style="33" customWidth="1"/>
    <col min="5904" max="5906" width="0.8984375" style="33" customWidth="1"/>
    <col min="5907" max="5916" width="0.5" style="33" customWidth="1"/>
    <col min="5917" max="5929" width="0" style="33" hidden="1" customWidth="1"/>
    <col min="5930" max="5931" width="0.5" style="33" customWidth="1"/>
    <col min="5932" max="5932" width="13.5" style="33" customWidth="1"/>
    <col min="5933" max="5933" width="8.796875" style="33"/>
    <col min="5934" max="5935" width="9.09765625" style="33" bestFit="1" customWidth="1"/>
    <col min="5936" max="5936" width="4.69921875" style="33" customWidth="1"/>
    <col min="5937" max="5937" width="8.796875" style="33"/>
    <col min="5938" max="5938" width="0.59765625" style="33" customWidth="1"/>
    <col min="5939" max="5943" width="0" style="33" hidden="1" customWidth="1"/>
    <col min="5944" max="6144" width="8.796875" style="33"/>
    <col min="6145" max="6145" width="2.296875" style="33" customWidth="1"/>
    <col min="6146" max="6146" width="7.3984375" style="33" customWidth="1"/>
    <col min="6147" max="6147" width="20.59765625" style="33" customWidth="1"/>
    <col min="6148" max="6148" width="2" style="33" customWidth="1"/>
    <col min="6149" max="6149" width="10.8984375" style="33" customWidth="1"/>
    <col min="6150" max="6150" width="4.09765625" style="33" customWidth="1"/>
    <col min="6151" max="6151" width="4.796875" style="33" customWidth="1"/>
    <col min="6152" max="6152" width="25.296875" style="33" customWidth="1"/>
    <col min="6153" max="6153" width="11.296875" style="33" customWidth="1"/>
    <col min="6154" max="6157" width="0" style="33" hidden="1" customWidth="1"/>
    <col min="6158" max="6158" width="10.19921875" style="33" customWidth="1"/>
    <col min="6159" max="6159" width="9.59765625" style="33" customWidth="1"/>
    <col min="6160" max="6162" width="0.8984375" style="33" customWidth="1"/>
    <col min="6163" max="6172" width="0.5" style="33" customWidth="1"/>
    <col min="6173" max="6185" width="0" style="33" hidden="1" customWidth="1"/>
    <col min="6186" max="6187" width="0.5" style="33" customWidth="1"/>
    <col min="6188" max="6188" width="13.5" style="33" customWidth="1"/>
    <col min="6189" max="6189" width="8.796875" style="33"/>
    <col min="6190" max="6191" width="9.09765625" style="33" bestFit="1" customWidth="1"/>
    <col min="6192" max="6192" width="4.69921875" style="33" customWidth="1"/>
    <col min="6193" max="6193" width="8.796875" style="33"/>
    <col min="6194" max="6194" width="0.59765625" style="33" customWidth="1"/>
    <col min="6195" max="6199" width="0" style="33" hidden="1" customWidth="1"/>
    <col min="6200" max="6400" width="8.796875" style="33"/>
    <col min="6401" max="6401" width="2.296875" style="33" customWidth="1"/>
    <col min="6402" max="6402" width="7.3984375" style="33" customWidth="1"/>
    <col min="6403" max="6403" width="20.59765625" style="33" customWidth="1"/>
    <col min="6404" max="6404" width="2" style="33" customWidth="1"/>
    <col min="6405" max="6405" width="10.8984375" style="33" customWidth="1"/>
    <col min="6406" max="6406" width="4.09765625" style="33" customWidth="1"/>
    <col min="6407" max="6407" width="4.796875" style="33" customWidth="1"/>
    <col min="6408" max="6408" width="25.296875" style="33" customWidth="1"/>
    <col min="6409" max="6409" width="11.296875" style="33" customWidth="1"/>
    <col min="6410" max="6413" width="0" style="33" hidden="1" customWidth="1"/>
    <col min="6414" max="6414" width="10.19921875" style="33" customWidth="1"/>
    <col min="6415" max="6415" width="9.59765625" style="33" customWidth="1"/>
    <col min="6416" max="6418" width="0.8984375" style="33" customWidth="1"/>
    <col min="6419" max="6428" width="0.5" style="33" customWidth="1"/>
    <col min="6429" max="6441" width="0" style="33" hidden="1" customWidth="1"/>
    <col min="6442" max="6443" width="0.5" style="33" customWidth="1"/>
    <col min="6444" max="6444" width="13.5" style="33" customWidth="1"/>
    <col min="6445" max="6445" width="8.796875" style="33"/>
    <col min="6446" max="6447" width="9.09765625" style="33" bestFit="1" customWidth="1"/>
    <col min="6448" max="6448" width="4.69921875" style="33" customWidth="1"/>
    <col min="6449" max="6449" width="8.796875" style="33"/>
    <col min="6450" max="6450" width="0.59765625" style="33" customWidth="1"/>
    <col min="6451" max="6455" width="0" style="33" hidden="1" customWidth="1"/>
    <col min="6456" max="6656" width="8.796875" style="33"/>
    <col min="6657" max="6657" width="2.296875" style="33" customWidth="1"/>
    <col min="6658" max="6658" width="7.3984375" style="33" customWidth="1"/>
    <col min="6659" max="6659" width="20.59765625" style="33" customWidth="1"/>
    <col min="6660" max="6660" width="2" style="33" customWidth="1"/>
    <col min="6661" max="6661" width="10.8984375" style="33" customWidth="1"/>
    <col min="6662" max="6662" width="4.09765625" style="33" customWidth="1"/>
    <col min="6663" max="6663" width="4.796875" style="33" customWidth="1"/>
    <col min="6664" max="6664" width="25.296875" style="33" customWidth="1"/>
    <col min="6665" max="6665" width="11.296875" style="33" customWidth="1"/>
    <col min="6666" max="6669" width="0" style="33" hidden="1" customWidth="1"/>
    <col min="6670" max="6670" width="10.19921875" style="33" customWidth="1"/>
    <col min="6671" max="6671" width="9.59765625" style="33" customWidth="1"/>
    <col min="6672" max="6674" width="0.8984375" style="33" customWidth="1"/>
    <col min="6675" max="6684" width="0.5" style="33" customWidth="1"/>
    <col min="6685" max="6697" width="0" style="33" hidden="1" customWidth="1"/>
    <col min="6698" max="6699" width="0.5" style="33" customWidth="1"/>
    <col min="6700" max="6700" width="13.5" style="33" customWidth="1"/>
    <col min="6701" max="6701" width="8.796875" style="33"/>
    <col min="6702" max="6703" width="9.09765625" style="33" bestFit="1" customWidth="1"/>
    <col min="6704" max="6704" width="4.69921875" style="33" customWidth="1"/>
    <col min="6705" max="6705" width="8.796875" style="33"/>
    <col min="6706" max="6706" width="0.59765625" style="33" customWidth="1"/>
    <col min="6707" max="6711" width="0" style="33" hidden="1" customWidth="1"/>
    <col min="6712" max="6912" width="8.796875" style="33"/>
    <col min="6913" max="6913" width="2.296875" style="33" customWidth="1"/>
    <col min="6914" max="6914" width="7.3984375" style="33" customWidth="1"/>
    <col min="6915" max="6915" width="20.59765625" style="33" customWidth="1"/>
    <col min="6916" max="6916" width="2" style="33" customWidth="1"/>
    <col min="6917" max="6917" width="10.8984375" style="33" customWidth="1"/>
    <col min="6918" max="6918" width="4.09765625" style="33" customWidth="1"/>
    <col min="6919" max="6919" width="4.796875" style="33" customWidth="1"/>
    <col min="6920" max="6920" width="25.296875" style="33" customWidth="1"/>
    <col min="6921" max="6921" width="11.296875" style="33" customWidth="1"/>
    <col min="6922" max="6925" width="0" style="33" hidden="1" customWidth="1"/>
    <col min="6926" max="6926" width="10.19921875" style="33" customWidth="1"/>
    <col min="6927" max="6927" width="9.59765625" style="33" customWidth="1"/>
    <col min="6928" max="6930" width="0.8984375" style="33" customWidth="1"/>
    <col min="6931" max="6940" width="0.5" style="33" customWidth="1"/>
    <col min="6941" max="6953" width="0" style="33" hidden="1" customWidth="1"/>
    <col min="6954" max="6955" width="0.5" style="33" customWidth="1"/>
    <col min="6956" max="6956" width="13.5" style="33" customWidth="1"/>
    <col min="6957" max="6957" width="8.796875" style="33"/>
    <col min="6958" max="6959" width="9.09765625" style="33" bestFit="1" customWidth="1"/>
    <col min="6960" max="6960" width="4.69921875" style="33" customWidth="1"/>
    <col min="6961" max="6961" width="8.796875" style="33"/>
    <col min="6962" max="6962" width="0.59765625" style="33" customWidth="1"/>
    <col min="6963" max="6967" width="0" style="33" hidden="1" customWidth="1"/>
    <col min="6968" max="7168" width="8.796875" style="33"/>
    <col min="7169" max="7169" width="2.296875" style="33" customWidth="1"/>
    <col min="7170" max="7170" width="7.3984375" style="33" customWidth="1"/>
    <col min="7171" max="7171" width="20.59765625" style="33" customWidth="1"/>
    <col min="7172" max="7172" width="2" style="33" customWidth="1"/>
    <col min="7173" max="7173" width="10.8984375" style="33" customWidth="1"/>
    <col min="7174" max="7174" width="4.09765625" style="33" customWidth="1"/>
    <col min="7175" max="7175" width="4.796875" style="33" customWidth="1"/>
    <col min="7176" max="7176" width="25.296875" style="33" customWidth="1"/>
    <col min="7177" max="7177" width="11.296875" style="33" customWidth="1"/>
    <col min="7178" max="7181" width="0" style="33" hidden="1" customWidth="1"/>
    <col min="7182" max="7182" width="10.19921875" style="33" customWidth="1"/>
    <col min="7183" max="7183" width="9.59765625" style="33" customWidth="1"/>
    <col min="7184" max="7186" width="0.8984375" style="33" customWidth="1"/>
    <col min="7187" max="7196" width="0.5" style="33" customWidth="1"/>
    <col min="7197" max="7209" width="0" style="33" hidden="1" customWidth="1"/>
    <col min="7210" max="7211" width="0.5" style="33" customWidth="1"/>
    <col min="7212" max="7212" width="13.5" style="33" customWidth="1"/>
    <col min="7213" max="7213" width="8.796875" style="33"/>
    <col min="7214" max="7215" width="9.09765625" style="33" bestFit="1" customWidth="1"/>
    <col min="7216" max="7216" width="4.69921875" style="33" customWidth="1"/>
    <col min="7217" max="7217" width="8.796875" style="33"/>
    <col min="7218" max="7218" width="0.59765625" style="33" customWidth="1"/>
    <col min="7219" max="7223" width="0" style="33" hidden="1" customWidth="1"/>
    <col min="7224" max="7424" width="8.796875" style="33"/>
    <col min="7425" max="7425" width="2.296875" style="33" customWidth="1"/>
    <col min="7426" max="7426" width="7.3984375" style="33" customWidth="1"/>
    <col min="7427" max="7427" width="20.59765625" style="33" customWidth="1"/>
    <col min="7428" max="7428" width="2" style="33" customWidth="1"/>
    <col min="7429" max="7429" width="10.8984375" style="33" customWidth="1"/>
    <col min="7430" max="7430" width="4.09765625" style="33" customWidth="1"/>
    <col min="7431" max="7431" width="4.796875" style="33" customWidth="1"/>
    <col min="7432" max="7432" width="25.296875" style="33" customWidth="1"/>
    <col min="7433" max="7433" width="11.296875" style="33" customWidth="1"/>
    <col min="7434" max="7437" width="0" style="33" hidden="1" customWidth="1"/>
    <col min="7438" max="7438" width="10.19921875" style="33" customWidth="1"/>
    <col min="7439" max="7439" width="9.59765625" style="33" customWidth="1"/>
    <col min="7440" max="7442" width="0.8984375" style="33" customWidth="1"/>
    <col min="7443" max="7452" width="0.5" style="33" customWidth="1"/>
    <col min="7453" max="7465" width="0" style="33" hidden="1" customWidth="1"/>
    <col min="7466" max="7467" width="0.5" style="33" customWidth="1"/>
    <col min="7468" max="7468" width="13.5" style="33" customWidth="1"/>
    <col min="7469" max="7469" width="8.796875" style="33"/>
    <col min="7470" max="7471" width="9.09765625" style="33" bestFit="1" customWidth="1"/>
    <col min="7472" max="7472" width="4.69921875" style="33" customWidth="1"/>
    <col min="7473" max="7473" width="8.796875" style="33"/>
    <col min="7474" max="7474" width="0.59765625" style="33" customWidth="1"/>
    <col min="7475" max="7479" width="0" style="33" hidden="1" customWidth="1"/>
    <col min="7480" max="7680" width="8.796875" style="33"/>
    <col min="7681" max="7681" width="2.296875" style="33" customWidth="1"/>
    <col min="7682" max="7682" width="7.3984375" style="33" customWidth="1"/>
    <col min="7683" max="7683" width="20.59765625" style="33" customWidth="1"/>
    <col min="7684" max="7684" width="2" style="33" customWidth="1"/>
    <col min="7685" max="7685" width="10.8984375" style="33" customWidth="1"/>
    <col min="7686" max="7686" width="4.09765625" style="33" customWidth="1"/>
    <col min="7687" max="7687" width="4.796875" style="33" customWidth="1"/>
    <col min="7688" max="7688" width="25.296875" style="33" customWidth="1"/>
    <col min="7689" max="7689" width="11.296875" style="33" customWidth="1"/>
    <col min="7690" max="7693" width="0" style="33" hidden="1" customWidth="1"/>
    <col min="7694" max="7694" width="10.19921875" style="33" customWidth="1"/>
    <col min="7695" max="7695" width="9.59765625" style="33" customWidth="1"/>
    <col min="7696" max="7698" width="0.8984375" style="33" customWidth="1"/>
    <col min="7699" max="7708" width="0.5" style="33" customWidth="1"/>
    <col min="7709" max="7721" width="0" style="33" hidden="1" customWidth="1"/>
    <col min="7722" max="7723" width="0.5" style="33" customWidth="1"/>
    <col min="7724" max="7724" width="13.5" style="33" customWidth="1"/>
    <col min="7725" max="7725" width="8.796875" style="33"/>
    <col min="7726" max="7727" width="9.09765625" style="33" bestFit="1" customWidth="1"/>
    <col min="7728" max="7728" width="4.69921875" style="33" customWidth="1"/>
    <col min="7729" max="7729" width="8.796875" style="33"/>
    <col min="7730" max="7730" width="0.59765625" style="33" customWidth="1"/>
    <col min="7731" max="7735" width="0" style="33" hidden="1" customWidth="1"/>
    <col min="7736" max="7936" width="8.796875" style="33"/>
    <col min="7937" max="7937" width="2.296875" style="33" customWidth="1"/>
    <col min="7938" max="7938" width="7.3984375" style="33" customWidth="1"/>
    <col min="7939" max="7939" width="20.59765625" style="33" customWidth="1"/>
    <col min="7940" max="7940" width="2" style="33" customWidth="1"/>
    <col min="7941" max="7941" width="10.8984375" style="33" customWidth="1"/>
    <col min="7942" max="7942" width="4.09765625" style="33" customWidth="1"/>
    <col min="7943" max="7943" width="4.796875" style="33" customWidth="1"/>
    <col min="7944" max="7944" width="25.296875" style="33" customWidth="1"/>
    <col min="7945" max="7945" width="11.296875" style="33" customWidth="1"/>
    <col min="7946" max="7949" width="0" style="33" hidden="1" customWidth="1"/>
    <col min="7950" max="7950" width="10.19921875" style="33" customWidth="1"/>
    <col min="7951" max="7951" width="9.59765625" style="33" customWidth="1"/>
    <col min="7952" max="7954" width="0.8984375" style="33" customWidth="1"/>
    <col min="7955" max="7964" width="0.5" style="33" customWidth="1"/>
    <col min="7965" max="7977" width="0" style="33" hidden="1" customWidth="1"/>
    <col min="7978" max="7979" width="0.5" style="33" customWidth="1"/>
    <col min="7980" max="7980" width="13.5" style="33" customWidth="1"/>
    <col min="7981" max="7981" width="8.796875" style="33"/>
    <col min="7982" max="7983" width="9.09765625" style="33" bestFit="1" customWidth="1"/>
    <col min="7984" max="7984" width="4.69921875" style="33" customWidth="1"/>
    <col min="7985" max="7985" width="8.796875" style="33"/>
    <col min="7986" max="7986" width="0.59765625" style="33" customWidth="1"/>
    <col min="7987" max="7991" width="0" style="33" hidden="1" customWidth="1"/>
    <col min="7992" max="8192" width="8.796875" style="33"/>
    <col min="8193" max="8193" width="2.296875" style="33" customWidth="1"/>
    <col min="8194" max="8194" width="7.3984375" style="33" customWidth="1"/>
    <col min="8195" max="8195" width="20.59765625" style="33" customWidth="1"/>
    <col min="8196" max="8196" width="2" style="33" customWidth="1"/>
    <col min="8197" max="8197" width="10.8984375" style="33" customWidth="1"/>
    <col min="8198" max="8198" width="4.09765625" style="33" customWidth="1"/>
    <col min="8199" max="8199" width="4.796875" style="33" customWidth="1"/>
    <col min="8200" max="8200" width="25.296875" style="33" customWidth="1"/>
    <col min="8201" max="8201" width="11.296875" style="33" customWidth="1"/>
    <col min="8202" max="8205" width="0" style="33" hidden="1" customWidth="1"/>
    <col min="8206" max="8206" width="10.19921875" style="33" customWidth="1"/>
    <col min="8207" max="8207" width="9.59765625" style="33" customWidth="1"/>
    <col min="8208" max="8210" width="0.8984375" style="33" customWidth="1"/>
    <col min="8211" max="8220" width="0.5" style="33" customWidth="1"/>
    <col min="8221" max="8233" width="0" style="33" hidden="1" customWidth="1"/>
    <col min="8234" max="8235" width="0.5" style="33" customWidth="1"/>
    <col min="8236" max="8236" width="13.5" style="33" customWidth="1"/>
    <col min="8237" max="8237" width="8.796875" style="33"/>
    <col min="8238" max="8239" width="9.09765625" style="33" bestFit="1" customWidth="1"/>
    <col min="8240" max="8240" width="4.69921875" style="33" customWidth="1"/>
    <col min="8241" max="8241" width="8.796875" style="33"/>
    <col min="8242" max="8242" width="0.59765625" style="33" customWidth="1"/>
    <col min="8243" max="8247" width="0" style="33" hidden="1" customWidth="1"/>
    <col min="8248" max="8448" width="8.796875" style="33"/>
    <col min="8449" max="8449" width="2.296875" style="33" customWidth="1"/>
    <col min="8450" max="8450" width="7.3984375" style="33" customWidth="1"/>
    <col min="8451" max="8451" width="20.59765625" style="33" customWidth="1"/>
    <col min="8452" max="8452" width="2" style="33" customWidth="1"/>
    <col min="8453" max="8453" width="10.8984375" style="33" customWidth="1"/>
    <col min="8454" max="8454" width="4.09765625" style="33" customWidth="1"/>
    <col min="8455" max="8455" width="4.796875" style="33" customWidth="1"/>
    <col min="8456" max="8456" width="25.296875" style="33" customWidth="1"/>
    <col min="8457" max="8457" width="11.296875" style="33" customWidth="1"/>
    <col min="8458" max="8461" width="0" style="33" hidden="1" customWidth="1"/>
    <col min="8462" max="8462" width="10.19921875" style="33" customWidth="1"/>
    <col min="8463" max="8463" width="9.59765625" style="33" customWidth="1"/>
    <col min="8464" max="8466" width="0.8984375" style="33" customWidth="1"/>
    <col min="8467" max="8476" width="0.5" style="33" customWidth="1"/>
    <col min="8477" max="8489" width="0" style="33" hidden="1" customWidth="1"/>
    <col min="8490" max="8491" width="0.5" style="33" customWidth="1"/>
    <col min="8492" max="8492" width="13.5" style="33" customWidth="1"/>
    <col min="8493" max="8493" width="8.796875" style="33"/>
    <col min="8494" max="8495" width="9.09765625" style="33" bestFit="1" customWidth="1"/>
    <col min="8496" max="8496" width="4.69921875" style="33" customWidth="1"/>
    <col min="8497" max="8497" width="8.796875" style="33"/>
    <col min="8498" max="8498" width="0.59765625" style="33" customWidth="1"/>
    <col min="8499" max="8503" width="0" style="33" hidden="1" customWidth="1"/>
    <col min="8504" max="8704" width="8.796875" style="33"/>
    <col min="8705" max="8705" width="2.296875" style="33" customWidth="1"/>
    <col min="8706" max="8706" width="7.3984375" style="33" customWidth="1"/>
    <col min="8707" max="8707" width="20.59765625" style="33" customWidth="1"/>
    <col min="8708" max="8708" width="2" style="33" customWidth="1"/>
    <col min="8709" max="8709" width="10.8984375" style="33" customWidth="1"/>
    <col min="8710" max="8710" width="4.09765625" style="33" customWidth="1"/>
    <col min="8711" max="8711" width="4.796875" style="33" customWidth="1"/>
    <col min="8712" max="8712" width="25.296875" style="33" customWidth="1"/>
    <col min="8713" max="8713" width="11.296875" style="33" customWidth="1"/>
    <col min="8714" max="8717" width="0" style="33" hidden="1" customWidth="1"/>
    <col min="8718" max="8718" width="10.19921875" style="33" customWidth="1"/>
    <col min="8719" max="8719" width="9.59765625" style="33" customWidth="1"/>
    <col min="8720" max="8722" width="0.8984375" style="33" customWidth="1"/>
    <col min="8723" max="8732" width="0.5" style="33" customWidth="1"/>
    <col min="8733" max="8745" width="0" style="33" hidden="1" customWidth="1"/>
    <col min="8746" max="8747" width="0.5" style="33" customWidth="1"/>
    <col min="8748" max="8748" width="13.5" style="33" customWidth="1"/>
    <col min="8749" max="8749" width="8.796875" style="33"/>
    <col min="8750" max="8751" width="9.09765625" style="33" bestFit="1" customWidth="1"/>
    <col min="8752" max="8752" width="4.69921875" style="33" customWidth="1"/>
    <col min="8753" max="8753" width="8.796875" style="33"/>
    <col min="8754" max="8754" width="0.59765625" style="33" customWidth="1"/>
    <col min="8755" max="8759" width="0" style="33" hidden="1" customWidth="1"/>
    <col min="8760" max="8960" width="8.796875" style="33"/>
    <col min="8961" max="8961" width="2.296875" style="33" customWidth="1"/>
    <col min="8962" max="8962" width="7.3984375" style="33" customWidth="1"/>
    <col min="8963" max="8963" width="20.59765625" style="33" customWidth="1"/>
    <col min="8964" max="8964" width="2" style="33" customWidth="1"/>
    <col min="8965" max="8965" width="10.8984375" style="33" customWidth="1"/>
    <col min="8966" max="8966" width="4.09765625" style="33" customWidth="1"/>
    <col min="8967" max="8967" width="4.796875" style="33" customWidth="1"/>
    <col min="8968" max="8968" width="25.296875" style="33" customWidth="1"/>
    <col min="8969" max="8969" width="11.296875" style="33" customWidth="1"/>
    <col min="8970" max="8973" width="0" style="33" hidden="1" customWidth="1"/>
    <col min="8974" max="8974" width="10.19921875" style="33" customWidth="1"/>
    <col min="8975" max="8975" width="9.59765625" style="33" customWidth="1"/>
    <col min="8976" max="8978" width="0.8984375" style="33" customWidth="1"/>
    <col min="8979" max="8988" width="0.5" style="33" customWidth="1"/>
    <col min="8989" max="9001" width="0" style="33" hidden="1" customWidth="1"/>
    <col min="9002" max="9003" width="0.5" style="33" customWidth="1"/>
    <col min="9004" max="9004" width="13.5" style="33" customWidth="1"/>
    <col min="9005" max="9005" width="8.796875" style="33"/>
    <col min="9006" max="9007" width="9.09765625" style="33" bestFit="1" customWidth="1"/>
    <col min="9008" max="9008" width="4.69921875" style="33" customWidth="1"/>
    <col min="9009" max="9009" width="8.796875" style="33"/>
    <col min="9010" max="9010" width="0.59765625" style="33" customWidth="1"/>
    <col min="9011" max="9015" width="0" style="33" hidden="1" customWidth="1"/>
    <col min="9016" max="9216" width="8.796875" style="33"/>
    <col min="9217" max="9217" width="2.296875" style="33" customWidth="1"/>
    <col min="9218" max="9218" width="7.3984375" style="33" customWidth="1"/>
    <col min="9219" max="9219" width="20.59765625" style="33" customWidth="1"/>
    <col min="9220" max="9220" width="2" style="33" customWidth="1"/>
    <col min="9221" max="9221" width="10.8984375" style="33" customWidth="1"/>
    <col min="9222" max="9222" width="4.09765625" style="33" customWidth="1"/>
    <col min="9223" max="9223" width="4.796875" style="33" customWidth="1"/>
    <col min="9224" max="9224" width="25.296875" style="33" customWidth="1"/>
    <col min="9225" max="9225" width="11.296875" style="33" customWidth="1"/>
    <col min="9226" max="9229" width="0" style="33" hidden="1" customWidth="1"/>
    <col min="9230" max="9230" width="10.19921875" style="33" customWidth="1"/>
    <col min="9231" max="9231" width="9.59765625" style="33" customWidth="1"/>
    <col min="9232" max="9234" width="0.8984375" style="33" customWidth="1"/>
    <col min="9235" max="9244" width="0.5" style="33" customWidth="1"/>
    <col min="9245" max="9257" width="0" style="33" hidden="1" customWidth="1"/>
    <col min="9258" max="9259" width="0.5" style="33" customWidth="1"/>
    <col min="9260" max="9260" width="13.5" style="33" customWidth="1"/>
    <col min="9261" max="9261" width="8.796875" style="33"/>
    <col min="9262" max="9263" width="9.09765625" style="33" bestFit="1" customWidth="1"/>
    <col min="9264" max="9264" width="4.69921875" style="33" customWidth="1"/>
    <col min="9265" max="9265" width="8.796875" style="33"/>
    <col min="9266" max="9266" width="0.59765625" style="33" customWidth="1"/>
    <col min="9267" max="9271" width="0" style="33" hidden="1" customWidth="1"/>
    <col min="9272" max="9472" width="8.796875" style="33"/>
    <col min="9473" max="9473" width="2.296875" style="33" customWidth="1"/>
    <col min="9474" max="9474" width="7.3984375" style="33" customWidth="1"/>
    <col min="9475" max="9475" width="20.59765625" style="33" customWidth="1"/>
    <col min="9476" max="9476" width="2" style="33" customWidth="1"/>
    <col min="9477" max="9477" width="10.8984375" style="33" customWidth="1"/>
    <col min="9478" max="9478" width="4.09765625" style="33" customWidth="1"/>
    <col min="9479" max="9479" width="4.796875" style="33" customWidth="1"/>
    <col min="9480" max="9480" width="25.296875" style="33" customWidth="1"/>
    <col min="9481" max="9481" width="11.296875" style="33" customWidth="1"/>
    <col min="9482" max="9485" width="0" style="33" hidden="1" customWidth="1"/>
    <col min="9486" max="9486" width="10.19921875" style="33" customWidth="1"/>
    <col min="9487" max="9487" width="9.59765625" style="33" customWidth="1"/>
    <col min="9488" max="9490" width="0.8984375" style="33" customWidth="1"/>
    <col min="9491" max="9500" width="0.5" style="33" customWidth="1"/>
    <col min="9501" max="9513" width="0" style="33" hidden="1" customWidth="1"/>
    <col min="9514" max="9515" width="0.5" style="33" customWidth="1"/>
    <col min="9516" max="9516" width="13.5" style="33" customWidth="1"/>
    <col min="9517" max="9517" width="8.796875" style="33"/>
    <col min="9518" max="9519" width="9.09765625" style="33" bestFit="1" customWidth="1"/>
    <col min="9520" max="9520" width="4.69921875" style="33" customWidth="1"/>
    <col min="9521" max="9521" width="8.796875" style="33"/>
    <col min="9522" max="9522" width="0.59765625" style="33" customWidth="1"/>
    <col min="9523" max="9527" width="0" style="33" hidden="1" customWidth="1"/>
    <col min="9528" max="9728" width="8.796875" style="33"/>
    <col min="9729" max="9729" width="2.296875" style="33" customWidth="1"/>
    <col min="9730" max="9730" width="7.3984375" style="33" customWidth="1"/>
    <col min="9731" max="9731" width="20.59765625" style="33" customWidth="1"/>
    <col min="9732" max="9732" width="2" style="33" customWidth="1"/>
    <col min="9733" max="9733" width="10.8984375" style="33" customWidth="1"/>
    <col min="9734" max="9734" width="4.09765625" style="33" customWidth="1"/>
    <col min="9735" max="9735" width="4.796875" style="33" customWidth="1"/>
    <col min="9736" max="9736" width="25.296875" style="33" customWidth="1"/>
    <col min="9737" max="9737" width="11.296875" style="33" customWidth="1"/>
    <col min="9738" max="9741" width="0" style="33" hidden="1" customWidth="1"/>
    <col min="9742" max="9742" width="10.19921875" style="33" customWidth="1"/>
    <col min="9743" max="9743" width="9.59765625" style="33" customWidth="1"/>
    <col min="9744" max="9746" width="0.8984375" style="33" customWidth="1"/>
    <col min="9747" max="9756" width="0.5" style="33" customWidth="1"/>
    <col min="9757" max="9769" width="0" style="33" hidden="1" customWidth="1"/>
    <col min="9770" max="9771" width="0.5" style="33" customWidth="1"/>
    <col min="9772" max="9772" width="13.5" style="33" customWidth="1"/>
    <col min="9773" max="9773" width="8.796875" style="33"/>
    <col min="9774" max="9775" width="9.09765625" style="33" bestFit="1" customWidth="1"/>
    <col min="9776" max="9776" width="4.69921875" style="33" customWidth="1"/>
    <col min="9777" max="9777" width="8.796875" style="33"/>
    <col min="9778" max="9778" width="0.59765625" style="33" customWidth="1"/>
    <col min="9779" max="9783" width="0" style="33" hidden="1" customWidth="1"/>
    <col min="9784" max="9984" width="8.796875" style="33"/>
    <col min="9985" max="9985" width="2.296875" style="33" customWidth="1"/>
    <col min="9986" max="9986" width="7.3984375" style="33" customWidth="1"/>
    <col min="9987" max="9987" width="20.59765625" style="33" customWidth="1"/>
    <col min="9988" max="9988" width="2" style="33" customWidth="1"/>
    <col min="9989" max="9989" width="10.8984375" style="33" customWidth="1"/>
    <col min="9990" max="9990" width="4.09765625" style="33" customWidth="1"/>
    <col min="9991" max="9991" width="4.796875" style="33" customWidth="1"/>
    <col min="9992" max="9992" width="25.296875" style="33" customWidth="1"/>
    <col min="9993" max="9993" width="11.296875" style="33" customWidth="1"/>
    <col min="9994" max="9997" width="0" style="33" hidden="1" customWidth="1"/>
    <col min="9998" max="9998" width="10.19921875" style="33" customWidth="1"/>
    <col min="9999" max="9999" width="9.59765625" style="33" customWidth="1"/>
    <col min="10000" max="10002" width="0.8984375" style="33" customWidth="1"/>
    <col min="10003" max="10012" width="0.5" style="33" customWidth="1"/>
    <col min="10013" max="10025" width="0" style="33" hidden="1" customWidth="1"/>
    <col min="10026" max="10027" width="0.5" style="33" customWidth="1"/>
    <col min="10028" max="10028" width="13.5" style="33" customWidth="1"/>
    <col min="10029" max="10029" width="8.796875" style="33"/>
    <col min="10030" max="10031" width="9.09765625" style="33" bestFit="1" customWidth="1"/>
    <col min="10032" max="10032" width="4.69921875" style="33" customWidth="1"/>
    <col min="10033" max="10033" width="8.796875" style="33"/>
    <col min="10034" max="10034" width="0.59765625" style="33" customWidth="1"/>
    <col min="10035" max="10039" width="0" style="33" hidden="1" customWidth="1"/>
    <col min="10040" max="10240" width="8.796875" style="33"/>
    <col min="10241" max="10241" width="2.296875" style="33" customWidth="1"/>
    <col min="10242" max="10242" width="7.3984375" style="33" customWidth="1"/>
    <col min="10243" max="10243" width="20.59765625" style="33" customWidth="1"/>
    <col min="10244" max="10244" width="2" style="33" customWidth="1"/>
    <col min="10245" max="10245" width="10.8984375" style="33" customWidth="1"/>
    <col min="10246" max="10246" width="4.09765625" style="33" customWidth="1"/>
    <col min="10247" max="10247" width="4.796875" style="33" customWidth="1"/>
    <col min="10248" max="10248" width="25.296875" style="33" customWidth="1"/>
    <col min="10249" max="10249" width="11.296875" style="33" customWidth="1"/>
    <col min="10250" max="10253" width="0" style="33" hidden="1" customWidth="1"/>
    <col min="10254" max="10254" width="10.19921875" style="33" customWidth="1"/>
    <col min="10255" max="10255" width="9.59765625" style="33" customWidth="1"/>
    <col min="10256" max="10258" width="0.8984375" style="33" customWidth="1"/>
    <col min="10259" max="10268" width="0.5" style="33" customWidth="1"/>
    <col min="10269" max="10281" width="0" style="33" hidden="1" customWidth="1"/>
    <col min="10282" max="10283" width="0.5" style="33" customWidth="1"/>
    <col min="10284" max="10284" width="13.5" style="33" customWidth="1"/>
    <col min="10285" max="10285" width="8.796875" style="33"/>
    <col min="10286" max="10287" width="9.09765625" style="33" bestFit="1" customWidth="1"/>
    <col min="10288" max="10288" width="4.69921875" style="33" customWidth="1"/>
    <col min="10289" max="10289" width="8.796875" style="33"/>
    <col min="10290" max="10290" width="0.59765625" style="33" customWidth="1"/>
    <col min="10291" max="10295" width="0" style="33" hidden="1" customWidth="1"/>
    <col min="10296" max="10496" width="8.796875" style="33"/>
    <col min="10497" max="10497" width="2.296875" style="33" customWidth="1"/>
    <col min="10498" max="10498" width="7.3984375" style="33" customWidth="1"/>
    <col min="10499" max="10499" width="20.59765625" style="33" customWidth="1"/>
    <col min="10500" max="10500" width="2" style="33" customWidth="1"/>
    <col min="10501" max="10501" width="10.8984375" style="33" customWidth="1"/>
    <col min="10502" max="10502" width="4.09765625" style="33" customWidth="1"/>
    <col min="10503" max="10503" width="4.796875" style="33" customWidth="1"/>
    <col min="10504" max="10504" width="25.296875" style="33" customWidth="1"/>
    <col min="10505" max="10505" width="11.296875" style="33" customWidth="1"/>
    <col min="10506" max="10509" width="0" style="33" hidden="1" customWidth="1"/>
    <col min="10510" max="10510" width="10.19921875" style="33" customWidth="1"/>
    <col min="10511" max="10511" width="9.59765625" style="33" customWidth="1"/>
    <col min="10512" max="10514" width="0.8984375" style="33" customWidth="1"/>
    <col min="10515" max="10524" width="0.5" style="33" customWidth="1"/>
    <col min="10525" max="10537" width="0" style="33" hidden="1" customWidth="1"/>
    <col min="10538" max="10539" width="0.5" style="33" customWidth="1"/>
    <col min="10540" max="10540" width="13.5" style="33" customWidth="1"/>
    <col min="10541" max="10541" width="8.796875" style="33"/>
    <col min="10542" max="10543" width="9.09765625" style="33" bestFit="1" customWidth="1"/>
    <col min="10544" max="10544" width="4.69921875" style="33" customWidth="1"/>
    <col min="10545" max="10545" width="8.796875" style="33"/>
    <col min="10546" max="10546" width="0.59765625" style="33" customWidth="1"/>
    <col min="10547" max="10551" width="0" style="33" hidden="1" customWidth="1"/>
    <col min="10552" max="10752" width="8.796875" style="33"/>
    <col min="10753" max="10753" width="2.296875" style="33" customWidth="1"/>
    <col min="10754" max="10754" width="7.3984375" style="33" customWidth="1"/>
    <col min="10755" max="10755" width="20.59765625" style="33" customWidth="1"/>
    <col min="10756" max="10756" width="2" style="33" customWidth="1"/>
    <col min="10757" max="10757" width="10.8984375" style="33" customWidth="1"/>
    <col min="10758" max="10758" width="4.09765625" style="33" customWidth="1"/>
    <col min="10759" max="10759" width="4.796875" style="33" customWidth="1"/>
    <col min="10760" max="10760" width="25.296875" style="33" customWidth="1"/>
    <col min="10761" max="10761" width="11.296875" style="33" customWidth="1"/>
    <col min="10762" max="10765" width="0" style="33" hidden="1" customWidth="1"/>
    <col min="10766" max="10766" width="10.19921875" style="33" customWidth="1"/>
    <col min="10767" max="10767" width="9.59765625" style="33" customWidth="1"/>
    <col min="10768" max="10770" width="0.8984375" style="33" customWidth="1"/>
    <col min="10771" max="10780" width="0.5" style="33" customWidth="1"/>
    <col min="10781" max="10793" width="0" style="33" hidden="1" customWidth="1"/>
    <col min="10794" max="10795" width="0.5" style="33" customWidth="1"/>
    <col min="10796" max="10796" width="13.5" style="33" customWidth="1"/>
    <col min="10797" max="10797" width="8.796875" style="33"/>
    <col min="10798" max="10799" width="9.09765625" style="33" bestFit="1" customWidth="1"/>
    <col min="10800" max="10800" width="4.69921875" style="33" customWidth="1"/>
    <col min="10801" max="10801" width="8.796875" style="33"/>
    <col min="10802" max="10802" width="0.59765625" style="33" customWidth="1"/>
    <col min="10803" max="10807" width="0" style="33" hidden="1" customWidth="1"/>
    <col min="10808" max="11008" width="8.796875" style="33"/>
    <col min="11009" max="11009" width="2.296875" style="33" customWidth="1"/>
    <col min="11010" max="11010" width="7.3984375" style="33" customWidth="1"/>
    <col min="11011" max="11011" width="20.59765625" style="33" customWidth="1"/>
    <col min="11012" max="11012" width="2" style="33" customWidth="1"/>
    <col min="11013" max="11013" width="10.8984375" style="33" customWidth="1"/>
    <col min="11014" max="11014" width="4.09765625" style="33" customWidth="1"/>
    <col min="11015" max="11015" width="4.796875" style="33" customWidth="1"/>
    <col min="11016" max="11016" width="25.296875" style="33" customWidth="1"/>
    <col min="11017" max="11017" width="11.296875" style="33" customWidth="1"/>
    <col min="11018" max="11021" width="0" style="33" hidden="1" customWidth="1"/>
    <col min="11022" max="11022" width="10.19921875" style="33" customWidth="1"/>
    <col min="11023" max="11023" width="9.59765625" style="33" customWidth="1"/>
    <col min="11024" max="11026" width="0.8984375" style="33" customWidth="1"/>
    <col min="11027" max="11036" width="0.5" style="33" customWidth="1"/>
    <col min="11037" max="11049" width="0" style="33" hidden="1" customWidth="1"/>
    <col min="11050" max="11051" width="0.5" style="33" customWidth="1"/>
    <col min="11052" max="11052" width="13.5" style="33" customWidth="1"/>
    <col min="11053" max="11053" width="8.796875" style="33"/>
    <col min="11054" max="11055" width="9.09765625" style="33" bestFit="1" customWidth="1"/>
    <col min="11056" max="11056" width="4.69921875" style="33" customWidth="1"/>
    <col min="11057" max="11057" width="8.796875" style="33"/>
    <col min="11058" max="11058" width="0.59765625" style="33" customWidth="1"/>
    <col min="11059" max="11063" width="0" style="33" hidden="1" customWidth="1"/>
    <col min="11064" max="11264" width="8.796875" style="33"/>
    <col min="11265" max="11265" width="2.296875" style="33" customWidth="1"/>
    <col min="11266" max="11266" width="7.3984375" style="33" customWidth="1"/>
    <col min="11267" max="11267" width="20.59765625" style="33" customWidth="1"/>
    <col min="11268" max="11268" width="2" style="33" customWidth="1"/>
    <col min="11269" max="11269" width="10.8984375" style="33" customWidth="1"/>
    <col min="11270" max="11270" width="4.09765625" style="33" customWidth="1"/>
    <col min="11271" max="11271" width="4.796875" style="33" customWidth="1"/>
    <col min="11272" max="11272" width="25.296875" style="33" customWidth="1"/>
    <col min="11273" max="11273" width="11.296875" style="33" customWidth="1"/>
    <col min="11274" max="11277" width="0" style="33" hidden="1" customWidth="1"/>
    <col min="11278" max="11278" width="10.19921875" style="33" customWidth="1"/>
    <col min="11279" max="11279" width="9.59765625" style="33" customWidth="1"/>
    <col min="11280" max="11282" width="0.8984375" style="33" customWidth="1"/>
    <col min="11283" max="11292" width="0.5" style="33" customWidth="1"/>
    <col min="11293" max="11305" width="0" style="33" hidden="1" customWidth="1"/>
    <col min="11306" max="11307" width="0.5" style="33" customWidth="1"/>
    <col min="11308" max="11308" width="13.5" style="33" customWidth="1"/>
    <col min="11309" max="11309" width="8.796875" style="33"/>
    <col min="11310" max="11311" width="9.09765625" style="33" bestFit="1" customWidth="1"/>
    <col min="11312" max="11312" width="4.69921875" style="33" customWidth="1"/>
    <col min="11313" max="11313" width="8.796875" style="33"/>
    <col min="11314" max="11314" width="0.59765625" style="33" customWidth="1"/>
    <col min="11315" max="11319" width="0" style="33" hidden="1" customWidth="1"/>
    <col min="11320" max="11520" width="8.796875" style="33"/>
    <col min="11521" max="11521" width="2.296875" style="33" customWidth="1"/>
    <col min="11522" max="11522" width="7.3984375" style="33" customWidth="1"/>
    <col min="11523" max="11523" width="20.59765625" style="33" customWidth="1"/>
    <col min="11524" max="11524" width="2" style="33" customWidth="1"/>
    <col min="11525" max="11525" width="10.8984375" style="33" customWidth="1"/>
    <col min="11526" max="11526" width="4.09765625" style="33" customWidth="1"/>
    <col min="11527" max="11527" width="4.796875" style="33" customWidth="1"/>
    <col min="11528" max="11528" width="25.296875" style="33" customWidth="1"/>
    <col min="11529" max="11529" width="11.296875" style="33" customWidth="1"/>
    <col min="11530" max="11533" width="0" style="33" hidden="1" customWidth="1"/>
    <col min="11534" max="11534" width="10.19921875" style="33" customWidth="1"/>
    <col min="11535" max="11535" width="9.59765625" style="33" customWidth="1"/>
    <col min="11536" max="11538" width="0.8984375" style="33" customWidth="1"/>
    <col min="11539" max="11548" width="0.5" style="33" customWidth="1"/>
    <col min="11549" max="11561" width="0" style="33" hidden="1" customWidth="1"/>
    <col min="11562" max="11563" width="0.5" style="33" customWidth="1"/>
    <col min="11564" max="11564" width="13.5" style="33" customWidth="1"/>
    <col min="11565" max="11565" width="8.796875" style="33"/>
    <col min="11566" max="11567" width="9.09765625" style="33" bestFit="1" customWidth="1"/>
    <col min="11568" max="11568" width="4.69921875" style="33" customWidth="1"/>
    <col min="11569" max="11569" width="8.796875" style="33"/>
    <col min="11570" max="11570" width="0.59765625" style="33" customWidth="1"/>
    <col min="11571" max="11575" width="0" style="33" hidden="1" customWidth="1"/>
    <col min="11576" max="11776" width="8.796875" style="33"/>
    <col min="11777" max="11777" width="2.296875" style="33" customWidth="1"/>
    <col min="11778" max="11778" width="7.3984375" style="33" customWidth="1"/>
    <col min="11779" max="11779" width="20.59765625" style="33" customWidth="1"/>
    <col min="11780" max="11780" width="2" style="33" customWidth="1"/>
    <col min="11781" max="11781" width="10.8984375" style="33" customWidth="1"/>
    <col min="11782" max="11782" width="4.09765625" style="33" customWidth="1"/>
    <col min="11783" max="11783" width="4.796875" style="33" customWidth="1"/>
    <col min="11784" max="11784" width="25.296875" style="33" customWidth="1"/>
    <col min="11785" max="11785" width="11.296875" style="33" customWidth="1"/>
    <col min="11786" max="11789" width="0" style="33" hidden="1" customWidth="1"/>
    <col min="11790" max="11790" width="10.19921875" style="33" customWidth="1"/>
    <col min="11791" max="11791" width="9.59765625" style="33" customWidth="1"/>
    <col min="11792" max="11794" width="0.8984375" style="33" customWidth="1"/>
    <col min="11795" max="11804" width="0.5" style="33" customWidth="1"/>
    <col min="11805" max="11817" width="0" style="33" hidden="1" customWidth="1"/>
    <col min="11818" max="11819" width="0.5" style="33" customWidth="1"/>
    <col min="11820" max="11820" width="13.5" style="33" customWidth="1"/>
    <col min="11821" max="11821" width="8.796875" style="33"/>
    <col min="11822" max="11823" width="9.09765625" style="33" bestFit="1" customWidth="1"/>
    <col min="11824" max="11824" width="4.69921875" style="33" customWidth="1"/>
    <col min="11825" max="11825" width="8.796875" style="33"/>
    <col min="11826" max="11826" width="0.59765625" style="33" customWidth="1"/>
    <col min="11827" max="11831" width="0" style="33" hidden="1" customWidth="1"/>
    <col min="11832" max="12032" width="8.796875" style="33"/>
    <col min="12033" max="12033" width="2.296875" style="33" customWidth="1"/>
    <col min="12034" max="12034" width="7.3984375" style="33" customWidth="1"/>
    <col min="12035" max="12035" width="20.59765625" style="33" customWidth="1"/>
    <col min="12036" max="12036" width="2" style="33" customWidth="1"/>
    <col min="12037" max="12037" width="10.8984375" style="33" customWidth="1"/>
    <col min="12038" max="12038" width="4.09765625" style="33" customWidth="1"/>
    <col min="12039" max="12039" width="4.796875" style="33" customWidth="1"/>
    <col min="12040" max="12040" width="25.296875" style="33" customWidth="1"/>
    <col min="12041" max="12041" width="11.296875" style="33" customWidth="1"/>
    <col min="12042" max="12045" width="0" style="33" hidden="1" customWidth="1"/>
    <col min="12046" max="12046" width="10.19921875" style="33" customWidth="1"/>
    <col min="12047" max="12047" width="9.59765625" style="33" customWidth="1"/>
    <col min="12048" max="12050" width="0.8984375" style="33" customWidth="1"/>
    <col min="12051" max="12060" width="0.5" style="33" customWidth="1"/>
    <col min="12061" max="12073" width="0" style="33" hidden="1" customWidth="1"/>
    <col min="12074" max="12075" width="0.5" style="33" customWidth="1"/>
    <col min="12076" max="12076" width="13.5" style="33" customWidth="1"/>
    <col min="12077" max="12077" width="8.796875" style="33"/>
    <col min="12078" max="12079" width="9.09765625" style="33" bestFit="1" customWidth="1"/>
    <col min="12080" max="12080" width="4.69921875" style="33" customWidth="1"/>
    <col min="12081" max="12081" width="8.796875" style="33"/>
    <col min="12082" max="12082" width="0.59765625" style="33" customWidth="1"/>
    <col min="12083" max="12087" width="0" style="33" hidden="1" customWidth="1"/>
    <col min="12088" max="12288" width="8.796875" style="33"/>
    <col min="12289" max="12289" width="2.296875" style="33" customWidth="1"/>
    <col min="12290" max="12290" width="7.3984375" style="33" customWidth="1"/>
    <col min="12291" max="12291" width="20.59765625" style="33" customWidth="1"/>
    <col min="12292" max="12292" width="2" style="33" customWidth="1"/>
    <col min="12293" max="12293" width="10.8984375" style="33" customWidth="1"/>
    <col min="12294" max="12294" width="4.09765625" style="33" customWidth="1"/>
    <col min="12295" max="12295" width="4.796875" style="33" customWidth="1"/>
    <col min="12296" max="12296" width="25.296875" style="33" customWidth="1"/>
    <col min="12297" max="12297" width="11.296875" style="33" customWidth="1"/>
    <col min="12298" max="12301" width="0" style="33" hidden="1" customWidth="1"/>
    <col min="12302" max="12302" width="10.19921875" style="33" customWidth="1"/>
    <col min="12303" max="12303" width="9.59765625" style="33" customWidth="1"/>
    <col min="12304" max="12306" width="0.8984375" style="33" customWidth="1"/>
    <col min="12307" max="12316" width="0.5" style="33" customWidth="1"/>
    <col min="12317" max="12329" width="0" style="33" hidden="1" customWidth="1"/>
    <col min="12330" max="12331" width="0.5" style="33" customWidth="1"/>
    <col min="12332" max="12332" width="13.5" style="33" customWidth="1"/>
    <col min="12333" max="12333" width="8.796875" style="33"/>
    <col min="12334" max="12335" width="9.09765625" style="33" bestFit="1" customWidth="1"/>
    <col min="12336" max="12336" width="4.69921875" style="33" customWidth="1"/>
    <col min="12337" max="12337" width="8.796875" style="33"/>
    <col min="12338" max="12338" width="0.59765625" style="33" customWidth="1"/>
    <col min="12339" max="12343" width="0" style="33" hidden="1" customWidth="1"/>
    <col min="12344" max="12544" width="8.796875" style="33"/>
    <col min="12545" max="12545" width="2.296875" style="33" customWidth="1"/>
    <col min="12546" max="12546" width="7.3984375" style="33" customWidth="1"/>
    <col min="12547" max="12547" width="20.59765625" style="33" customWidth="1"/>
    <col min="12548" max="12548" width="2" style="33" customWidth="1"/>
    <col min="12549" max="12549" width="10.8984375" style="33" customWidth="1"/>
    <col min="12550" max="12550" width="4.09765625" style="33" customWidth="1"/>
    <col min="12551" max="12551" width="4.796875" style="33" customWidth="1"/>
    <col min="12552" max="12552" width="25.296875" style="33" customWidth="1"/>
    <col min="12553" max="12553" width="11.296875" style="33" customWidth="1"/>
    <col min="12554" max="12557" width="0" style="33" hidden="1" customWidth="1"/>
    <col min="12558" max="12558" width="10.19921875" style="33" customWidth="1"/>
    <col min="12559" max="12559" width="9.59765625" style="33" customWidth="1"/>
    <col min="12560" max="12562" width="0.8984375" style="33" customWidth="1"/>
    <col min="12563" max="12572" width="0.5" style="33" customWidth="1"/>
    <col min="12573" max="12585" width="0" style="33" hidden="1" customWidth="1"/>
    <col min="12586" max="12587" width="0.5" style="33" customWidth="1"/>
    <col min="12588" max="12588" width="13.5" style="33" customWidth="1"/>
    <col min="12589" max="12589" width="8.796875" style="33"/>
    <col min="12590" max="12591" width="9.09765625" style="33" bestFit="1" customWidth="1"/>
    <col min="12592" max="12592" width="4.69921875" style="33" customWidth="1"/>
    <col min="12593" max="12593" width="8.796875" style="33"/>
    <col min="12594" max="12594" width="0.59765625" style="33" customWidth="1"/>
    <col min="12595" max="12599" width="0" style="33" hidden="1" customWidth="1"/>
    <col min="12600" max="12800" width="8.796875" style="33"/>
    <col min="12801" max="12801" width="2.296875" style="33" customWidth="1"/>
    <col min="12802" max="12802" width="7.3984375" style="33" customWidth="1"/>
    <col min="12803" max="12803" width="20.59765625" style="33" customWidth="1"/>
    <col min="12804" max="12804" width="2" style="33" customWidth="1"/>
    <col min="12805" max="12805" width="10.8984375" style="33" customWidth="1"/>
    <col min="12806" max="12806" width="4.09765625" style="33" customWidth="1"/>
    <col min="12807" max="12807" width="4.796875" style="33" customWidth="1"/>
    <col min="12808" max="12808" width="25.296875" style="33" customWidth="1"/>
    <col min="12809" max="12809" width="11.296875" style="33" customWidth="1"/>
    <col min="12810" max="12813" width="0" style="33" hidden="1" customWidth="1"/>
    <col min="12814" max="12814" width="10.19921875" style="33" customWidth="1"/>
    <col min="12815" max="12815" width="9.59765625" style="33" customWidth="1"/>
    <col min="12816" max="12818" width="0.8984375" style="33" customWidth="1"/>
    <col min="12819" max="12828" width="0.5" style="33" customWidth="1"/>
    <col min="12829" max="12841" width="0" style="33" hidden="1" customWidth="1"/>
    <col min="12842" max="12843" width="0.5" style="33" customWidth="1"/>
    <col min="12844" max="12844" width="13.5" style="33" customWidth="1"/>
    <col min="12845" max="12845" width="8.796875" style="33"/>
    <col min="12846" max="12847" width="9.09765625" style="33" bestFit="1" customWidth="1"/>
    <col min="12848" max="12848" width="4.69921875" style="33" customWidth="1"/>
    <col min="12849" max="12849" width="8.796875" style="33"/>
    <col min="12850" max="12850" width="0.59765625" style="33" customWidth="1"/>
    <col min="12851" max="12855" width="0" style="33" hidden="1" customWidth="1"/>
    <col min="12856" max="13056" width="8.796875" style="33"/>
    <col min="13057" max="13057" width="2.296875" style="33" customWidth="1"/>
    <col min="13058" max="13058" width="7.3984375" style="33" customWidth="1"/>
    <col min="13059" max="13059" width="20.59765625" style="33" customWidth="1"/>
    <col min="13060" max="13060" width="2" style="33" customWidth="1"/>
    <col min="13061" max="13061" width="10.8984375" style="33" customWidth="1"/>
    <col min="13062" max="13062" width="4.09765625" style="33" customWidth="1"/>
    <col min="13063" max="13063" width="4.796875" style="33" customWidth="1"/>
    <col min="13064" max="13064" width="25.296875" style="33" customWidth="1"/>
    <col min="13065" max="13065" width="11.296875" style="33" customWidth="1"/>
    <col min="13066" max="13069" width="0" style="33" hidden="1" customWidth="1"/>
    <col min="13070" max="13070" width="10.19921875" style="33" customWidth="1"/>
    <col min="13071" max="13071" width="9.59765625" style="33" customWidth="1"/>
    <col min="13072" max="13074" width="0.8984375" style="33" customWidth="1"/>
    <col min="13075" max="13084" width="0.5" style="33" customWidth="1"/>
    <col min="13085" max="13097" width="0" style="33" hidden="1" customWidth="1"/>
    <col min="13098" max="13099" width="0.5" style="33" customWidth="1"/>
    <col min="13100" max="13100" width="13.5" style="33" customWidth="1"/>
    <col min="13101" max="13101" width="8.796875" style="33"/>
    <col min="13102" max="13103" width="9.09765625" style="33" bestFit="1" customWidth="1"/>
    <col min="13104" max="13104" width="4.69921875" style="33" customWidth="1"/>
    <col min="13105" max="13105" width="8.796875" style="33"/>
    <col min="13106" max="13106" width="0.59765625" style="33" customWidth="1"/>
    <col min="13107" max="13111" width="0" style="33" hidden="1" customWidth="1"/>
    <col min="13112" max="13312" width="8.796875" style="33"/>
    <col min="13313" max="13313" width="2.296875" style="33" customWidth="1"/>
    <col min="13314" max="13314" width="7.3984375" style="33" customWidth="1"/>
    <col min="13315" max="13315" width="20.59765625" style="33" customWidth="1"/>
    <col min="13316" max="13316" width="2" style="33" customWidth="1"/>
    <col min="13317" max="13317" width="10.8984375" style="33" customWidth="1"/>
    <col min="13318" max="13318" width="4.09765625" style="33" customWidth="1"/>
    <col min="13319" max="13319" width="4.796875" style="33" customWidth="1"/>
    <col min="13320" max="13320" width="25.296875" style="33" customWidth="1"/>
    <col min="13321" max="13321" width="11.296875" style="33" customWidth="1"/>
    <col min="13322" max="13325" width="0" style="33" hidden="1" customWidth="1"/>
    <col min="13326" max="13326" width="10.19921875" style="33" customWidth="1"/>
    <col min="13327" max="13327" width="9.59765625" style="33" customWidth="1"/>
    <col min="13328" max="13330" width="0.8984375" style="33" customWidth="1"/>
    <col min="13331" max="13340" width="0.5" style="33" customWidth="1"/>
    <col min="13341" max="13353" width="0" style="33" hidden="1" customWidth="1"/>
    <col min="13354" max="13355" width="0.5" style="33" customWidth="1"/>
    <col min="13356" max="13356" width="13.5" style="33" customWidth="1"/>
    <col min="13357" max="13357" width="8.796875" style="33"/>
    <col min="13358" max="13359" width="9.09765625" style="33" bestFit="1" customWidth="1"/>
    <col min="13360" max="13360" width="4.69921875" style="33" customWidth="1"/>
    <col min="13361" max="13361" width="8.796875" style="33"/>
    <col min="13362" max="13362" width="0.59765625" style="33" customWidth="1"/>
    <col min="13363" max="13367" width="0" style="33" hidden="1" customWidth="1"/>
    <col min="13368" max="13568" width="8.796875" style="33"/>
    <col min="13569" max="13569" width="2.296875" style="33" customWidth="1"/>
    <col min="13570" max="13570" width="7.3984375" style="33" customWidth="1"/>
    <col min="13571" max="13571" width="20.59765625" style="33" customWidth="1"/>
    <col min="13572" max="13572" width="2" style="33" customWidth="1"/>
    <col min="13573" max="13573" width="10.8984375" style="33" customWidth="1"/>
    <col min="13574" max="13574" width="4.09765625" style="33" customWidth="1"/>
    <col min="13575" max="13575" width="4.796875" style="33" customWidth="1"/>
    <col min="13576" max="13576" width="25.296875" style="33" customWidth="1"/>
    <col min="13577" max="13577" width="11.296875" style="33" customWidth="1"/>
    <col min="13578" max="13581" width="0" style="33" hidden="1" customWidth="1"/>
    <col min="13582" max="13582" width="10.19921875" style="33" customWidth="1"/>
    <col min="13583" max="13583" width="9.59765625" style="33" customWidth="1"/>
    <col min="13584" max="13586" width="0.8984375" style="33" customWidth="1"/>
    <col min="13587" max="13596" width="0.5" style="33" customWidth="1"/>
    <col min="13597" max="13609" width="0" style="33" hidden="1" customWidth="1"/>
    <col min="13610" max="13611" width="0.5" style="33" customWidth="1"/>
    <col min="13612" max="13612" width="13.5" style="33" customWidth="1"/>
    <col min="13613" max="13613" width="8.796875" style="33"/>
    <col min="13614" max="13615" width="9.09765625" style="33" bestFit="1" customWidth="1"/>
    <col min="13616" max="13616" width="4.69921875" style="33" customWidth="1"/>
    <col min="13617" max="13617" width="8.796875" style="33"/>
    <col min="13618" max="13618" width="0.59765625" style="33" customWidth="1"/>
    <col min="13619" max="13623" width="0" style="33" hidden="1" customWidth="1"/>
    <col min="13624" max="13824" width="8.796875" style="33"/>
    <col min="13825" max="13825" width="2.296875" style="33" customWidth="1"/>
    <col min="13826" max="13826" width="7.3984375" style="33" customWidth="1"/>
    <col min="13827" max="13827" width="20.59765625" style="33" customWidth="1"/>
    <col min="13828" max="13828" width="2" style="33" customWidth="1"/>
    <col min="13829" max="13829" width="10.8984375" style="33" customWidth="1"/>
    <col min="13830" max="13830" width="4.09765625" style="33" customWidth="1"/>
    <col min="13831" max="13831" width="4.796875" style="33" customWidth="1"/>
    <col min="13832" max="13832" width="25.296875" style="33" customWidth="1"/>
    <col min="13833" max="13833" width="11.296875" style="33" customWidth="1"/>
    <col min="13834" max="13837" width="0" style="33" hidden="1" customWidth="1"/>
    <col min="13838" max="13838" width="10.19921875" style="33" customWidth="1"/>
    <col min="13839" max="13839" width="9.59765625" style="33" customWidth="1"/>
    <col min="13840" max="13842" width="0.8984375" style="33" customWidth="1"/>
    <col min="13843" max="13852" width="0.5" style="33" customWidth="1"/>
    <col min="13853" max="13865" width="0" style="33" hidden="1" customWidth="1"/>
    <col min="13866" max="13867" width="0.5" style="33" customWidth="1"/>
    <col min="13868" max="13868" width="13.5" style="33" customWidth="1"/>
    <col min="13869" max="13869" width="8.796875" style="33"/>
    <col min="13870" max="13871" width="9.09765625" style="33" bestFit="1" customWidth="1"/>
    <col min="13872" max="13872" width="4.69921875" style="33" customWidth="1"/>
    <col min="13873" max="13873" width="8.796875" style="33"/>
    <col min="13874" max="13874" width="0.59765625" style="33" customWidth="1"/>
    <col min="13875" max="13879" width="0" style="33" hidden="1" customWidth="1"/>
    <col min="13880" max="14080" width="8.796875" style="33"/>
    <col min="14081" max="14081" width="2.296875" style="33" customWidth="1"/>
    <col min="14082" max="14082" width="7.3984375" style="33" customWidth="1"/>
    <col min="14083" max="14083" width="20.59765625" style="33" customWidth="1"/>
    <col min="14084" max="14084" width="2" style="33" customWidth="1"/>
    <col min="14085" max="14085" width="10.8984375" style="33" customWidth="1"/>
    <col min="14086" max="14086" width="4.09765625" style="33" customWidth="1"/>
    <col min="14087" max="14087" width="4.796875" style="33" customWidth="1"/>
    <col min="14088" max="14088" width="25.296875" style="33" customWidth="1"/>
    <col min="14089" max="14089" width="11.296875" style="33" customWidth="1"/>
    <col min="14090" max="14093" width="0" style="33" hidden="1" customWidth="1"/>
    <col min="14094" max="14094" width="10.19921875" style="33" customWidth="1"/>
    <col min="14095" max="14095" width="9.59765625" style="33" customWidth="1"/>
    <col min="14096" max="14098" width="0.8984375" style="33" customWidth="1"/>
    <col min="14099" max="14108" width="0.5" style="33" customWidth="1"/>
    <col min="14109" max="14121" width="0" style="33" hidden="1" customWidth="1"/>
    <col min="14122" max="14123" width="0.5" style="33" customWidth="1"/>
    <col min="14124" max="14124" width="13.5" style="33" customWidth="1"/>
    <col min="14125" max="14125" width="8.796875" style="33"/>
    <col min="14126" max="14127" width="9.09765625" style="33" bestFit="1" customWidth="1"/>
    <col min="14128" max="14128" width="4.69921875" style="33" customWidth="1"/>
    <col min="14129" max="14129" width="8.796875" style="33"/>
    <col min="14130" max="14130" width="0.59765625" style="33" customWidth="1"/>
    <col min="14131" max="14135" width="0" style="33" hidden="1" customWidth="1"/>
    <col min="14136" max="14336" width="8.796875" style="33"/>
    <col min="14337" max="14337" width="2.296875" style="33" customWidth="1"/>
    <col min="14338" max="14338" width="7.3984375" style="33" customWidth="1"/>
    <col min="14339" max="14339" width="20.59765625" style="33" customWidth="1"/>
    <col min="14340" max="14340" width="2" style="33" customWidth="1"/>
    <col min="14341" max="14341" width="10.8984375" style="33" customWidth="1"/>
    <col min="14342" max="14342" width="4.09765625" style="33" customWidth="1"/>
    <col min="14343" max="14343" width="4.796875" style="33" customWidth="1"/>
    <col min="14344" max="14344" width="25.296875" style="33" customWidth="1"/>
    <col min="14345" max="14345" width="11.296875" style="33" customWidth="1"/>
    <col min="14346" max="14349" width="0" style="33" hidden="1" customWidth="1"/>
    <col min="14350" max="14350" width="10.19921875" style="33" customWidth="1"/>
    <col min="14351" max="14351" width="9.59765625" style="33" customWidth="1"/>
    <col min="14352" max="14354" width="0.8984375" style="33" customWidth="1"/>
    <col min="14355" max="14364" width="0.5" style="33" customWidth="1"/>
    <col min="14365" max="14377" width="0" style="33" hidden="1" customWidth="1"/>
    <col min="14378" max="14379" width="0.5" style="33" customWidth="1"/>
    <col min="14380" max="14380" width="13.5" style="33" customWidth="1"/>
    <col min="14381" max="14381" width="8.796875" style="33"/>
    <col min="14382" max="14383" width="9.09765625" style="33" bestFit="1" customWidth="1"/>
    <col min="14384" max="14384" width="4.69921875" style="33" customWidth="1"/>
    <col min="14385" max="14385" width="8.796875" style="33"/>
    <col min="14386" max="14386" width="0.59765625" style="33" customWidth="1"/>
    <col min="14387" max="14391" width="0" style="33" hidden="1" customWidth="1"/>
    <col min="14392" max="14592" width="8.796875" style="33"/>
    <col min="14593" max="14593" width="2.296875" style="33" customWidth="1"/>
    <col min="14594" max="14594" width="7.3984375" style="33" customWidth="1"/>
    <col min="14595" max="14595" width="20.59765625" style="33" customWidth="1"/>
    <col min="14596" max="14596" width="2" style="33" customWidth="1"/>
    <col min="14597" max="14597" width="10.8984375" style="33" customWidth="1"/>
    <col min="14598" max="14598" width="4.09765625" style="33" customWidth="1"/>
    <col min="14599" max="14599" width="4.796875" style="33" customWidth="1"/>
    <col min="14600" max="14600" width="25.296875" style="33" customWidth="1"/>
    <col min="14601" max="14601" width="11.296875" style="33" customWidth="1"/>
    <col min="14602" max="14605" width="0" style="33" hidden="1" customWidth="1"/>
    <col min="14606" max="14606" width="10.19921875" style="33" customWidth="1"/>
    <col min="14607" max="14607" width="9.59765625" style="33" customWidth="1"/>
    <col min="14608" max="14610" width="0.8984375" style="33" customWidth="1"/>
    <col min="14611" max="14620" width="0.5" style="33" customWidth="1"/>
    <col min="14621" max="14633" width="0" style="33" hidden="1" customWidth="1"/>
    <col min="14634" max="14635" width="0.5" style="33" customWidth="1"/>
    <col min="14636" max="14636" width="13.5" style="33" customWidth="1"/>
    <col min="14637" max="14637" width="8.796875" style="33"/>
    <col min="14638" max="14639" width="9.09765625" style="33" bestFit="1" customWidth="1"/>
    <col min="14640" max="14640" width="4.69921875" style="33" customWidth="1"/>
    <col min="14641" max="14641" width="8.796875" style="33"/>
    <col min="14642" max="14642" width="0.59765625" style="33" customWidth="1"/>
    <col min="14643" max="14647" width="0" style="33" hidden="1" customWidth="1"/>
    <col min="14648" max="14848" width="8.796875" style="33"/>
    <col min="14849" max="14849" width="2.296875" style="33" customWidth="1"/>
    <col min="14850" max="14850" width="7.3984375" style="33" customWidth="1"/>
    <col min="14851" max="14851" width="20.59765625" style="33" customWidth="1"/>
    <col min="14852" max="14852" width="2" style="33" customWidth="1"/>
    <col min="14853" max="14853" width="10.8984375" style="33" customWidth="1"/>
    <col min="14854" max="14854" width="4.09765625" style="33" customWidth="1"/>
    <col min="14855" max="14855" width="4.796875" style="33" customWidth="1"/>
    <col min="14856" max="14856" width="25.296875" style="33" customWidth="1"/>
    <col min="14857" max="14857" width="11.296875" style="33" customWidth="1"/>
    <col min="14858" max="14861" width="0" style="33" hidden="1" customWidth="1"/>
    <col min="14862" max="14862" width="10.19921875" style="33" customWidth="1"/>
    <col min="14863" max="14863" width="9.59765625" style="33" customWidth="1"/>
    <col min="14864" max="14866" width="0.8984375" style="33" customWidth="1"/>
    <col min="14867" max="14876" width="0.5" style="33" customWidth="1"/>
    <col min="14877" max="14889" width="0" style="33" hidden="1" customWidth="1"/>
    <col min="14890" max="14891" width="0.5" style="33" customWidth="1"/>
    <col min="14892" max="14892" width="13.5" style="33" customWidth="1"/>
    <col min="14893" max="14893" width="8.796875" style="33"/>
    <col min="14894" max="14895" width="9.09765625" style="33" bestFit="1" customWidth="1"/>
    <col min="14896" max="14896" width="4.69921875" style="33" customWidth="1"/>
    <col min="14897" max="14897" width="8.796875" style="33"/>
    <col min="14898" max="14898" width="0.59765625" style="33" customWidth="1"/>
    <col min="14899" max="14903" width="0" style="33" hidden="1" customWidth="1"/>
    <col min="14904" max="15104" width="8.796875" style="33"/>
    <col min="15105" max="15105" width="2.296875" style="33" customWidth="1"/>
    <col min="15106" max="15106" width="7.3984375" style="33" customWidth="1"/>
    <col min="15107" max="15107" width="20.59765625" style="33" customWidth="1"/>
    <col min="15108" max="15108" width="2" style="33" customWidth="1"/>
    <col min="15109" max="15109" width="10.8984375" style="33" customWidth="1"/>
    <col min="15110" max="15110" width="4.09765625" style="33" customWidth="1"/>
    <col min="15111" max="15111" width="4.796875" style="33" customWidth="1"/>
    <col min="15112" max="15112" width="25.296875" style="33" customWidth="1"/>
    <col min="15113" max="15113" width="11.296875" style="33" customWidth="1"/>
    <col min="15114" max="15117" width="0" style="33" hidden="1" customWidth="1"/>
    <col min="15118" max="15118" width="10.19921875" style="33" customWidth="1"/>
    <col min="15119" max="15119" width="9.59765625" style="33" customWidth="1"/>
    <col min="15120" max="15122" width="0.8984375" style="33" customWidth="1"/>
    <col min="15123" max="15132" width="0.5" style="33" customWidth="1"/>
    <col min="15133" max="15145" width="0" style="33" hidden="1" customWidth="1"/>
    <col min="15146" max="15147" width="0.5" style="33" customWidth="1"/>
    <col min="15148" max="15148" width="13.5" style="33" customWidth="1"/>
    <col min="15149" max="15149" width="8.796875" style="33"/>
    <col min="15150" max="15151" width="9.09765625" style="33" bestFit="1" customWidth="1"/>
    <col min="15152" max="15152" width="4.69921875" style="33" customWidth="1"/>
    <col min="15153" max="15153" width="8.796875" style="33"/>
    <col min="15154" max="15154" width="0.59765625" style="33" customWidth="1"/>
    <col min="15155" max="15159" width="0" style="33" hidden="1" customWidth="1"/>
    <col min="15160" max="15360" width="8.796875" style="33"/>
    <col min="15361" max="15361" width="2.296875" style="33" customWidth="1"/>
    <col min="15362" max="15362" width="7.3984375" style="33" customWidth="1"/>
    <col min="15363" max="15363" width="20.59765625" style="33" customWidth="1"/>
    <col min="15364" max="15364" width="2" style="33" customWidth="1"/>
    <col min="15365" max="15365" width="10.8984375" style="33" customWidth="1"/>
    <col min="15366" max="15366" width="4.09765625" style="33" customWidth="1"/>
    <col min="15367" max="15367" width="4.796875" style="33" customWidth="1"/>
    <col min="15368" max="15368" width="25.296875" style="33" customWidth="1"/>
    <col min="15369" max="15369" width="11.296875" style="33" customWidth="1"/>
    <col min="15370" max="15373" width="0" style="33" hidden="1" customWidth="1"/>
    <col min="15374" max="15374" width="10.19921875" style="33" customWidth="1"/>
    <col min="15375" max="15375" width="9.59765625" style="33" customWidth="1"/>
    <col min="15376" max="15378" width="0.8984375" style="33" customWidth="1"/>
    <col min="15379" max="15388" width="0.5" style="33" customWidth="1"/>
    <col min="15389" max="15401" width="0" style="33" hidden="1" customWidth="1"/>
    <col min="15402" max="15403" width="0.5" style="33" customWidth="1"/>
    <col min="15404" max="15404" width="13.5" style="33" customWidth="1"/>
    <col min="15405" max="15405" width="8.796875" style="33"/>
    <col min="15406" max="15407" width="9.09765625" style="33" bestFit="1" customWidth="1"/>
    <col min="15408" max="15408" width="4.69921875" style="33" customWidth="1"/>
    <col min="15409" max="15409" width="8.796875" style="33"/>
    <col min="15410" max="15410" width="0.59765625" style="33" customWidth="1"/>
    <col min="15411" max="15415" width="0" style="33" hidden="1" customWidth="1"/>
    <col min="15416" max="15616" width="8.796875" style="33"/>
    <col min="15617" max="15617" width="2.296875" style="33" customWidth="1"/>
    <col min="15618" max="15618" width="7.3984375" style="33" customWidth="1"/>
    <col min="15619" max="15619" width="20.59765625" style="33" customWidth="1"/>
    <col min="15620" max="15620" width="2" style="33" customWidth="1"/>
    <col min="15621" max="15621" width="10.8984375" style="33" customWidth="1"/>
    <col min="15622" max="15622" width="4.09765625" style="33" customWidth="1"/>
    <col min="15623" max="15623" width="4.796875" style="33" customWidth="1"/>
    <col min="15624" max="15624" width="25.296875" style="33" customWidth="1"/>
    <col min="15625" max="15625" width="11.296875" style="33" customWidth="1"/>
    <col min="15626" max="15629" width="0" style="33" hidden="1" customWidth="1"/>
    <col min="15630" max="15630" width="10.19921875" style="33" customWidth="1"/>
    <col min="15631" max="15631" width="9.59765625" style="33" customWidth="1"/>
    <col min="15632" max="15634" width="0.8984375" style="33" customWidth="1"/>
    <col min="15635" max="15644" width="0.5" style="33" customWidth="1"/>
    <col min="15645" max="15657" width="0" style="33" hidden="1" customWidth="1"/>
    <col min="15658" max="15659" width="0.5" style="33" customWidth="1"/>
    <col min="15660" max="15660" width="13.5" style="33" customWidth="1"/>
    <col min="15661" max="15661" width="8.796875" style="33"/>
    <col min="15662" max="15663" width="9.09765625" style="33" bestFit="1" customWidth="1"/>
    <col min="15664" max="15664" width="4.69921875" style="33" customWidth="1"/>
    <col min="15665" max="15665" width="8.796875" style="33"/>
    <col min="15666" max="15666" width="0.59765625" style="33" customWidth="1"/>
    <col min="15667" max="15671" width="0" style="33" hidden="1" customWidth="1"/>
    <col min="15672" max="15872" width="8.796875" style="33"/>
    <col min="15873" max="15873" width="2.296875" style="33" customWidth="1"/>
    <col min="15874" max="15874" width="7.3984375" style="33" customWidth="1"/>
    <col min="15875" max="15875" width="20.59765625" style="33" customWidth="1"/>
    <col min="15876" max="15876" width="2" style="33" customWidth="1"/>
    <col min="15877" max="15877" width="10.8984375" style="33" customWidth="1"/>
    <col min="15878" max="15878" width="4.09765625" style="33" customWidth="1"/>
    <col min="15879" max="15879" width="4.796875" style="33" customWidth="1"/>
    <col min="15880" max="15880" width="25.296875" style="33" customWidth="1"/>
    <col min="15881" max="15881" width="11.296875" style="33" customWidth="1"/>
    <col min="15882" max="15885" width="0" style="33" hidden="1" customWidth="1"/>
    <col min="15886" max="15886" width="10.19921875" style="33" customWidth="1"/>
    <col min="15887" max="15887" width="9.59765625" style="33" customWidth="1"/>
    <col min="15888" max="15890" width="0.8984375" style="33" customWidth="1"/>
    <col min="15891" max="15900" width="0.5" style="33" customWidth="1"/>
    <col min="15901" max="15913" width="0" style="33" hidden="1" customWidth="1"/>
    <col min="15914" max="15915" width="0.5" style="33" customWidth="1"/>
    <col min="15916" max="15916" width="13.5" style="33" customWidth="1"/>
    <col min="15917" max="15917" width="8.796875" style="33"/>
    <col min="15918" max="15919" width="9.09765625" style="33" bestFit="1" customWidth="1"/>
    <col min="15920" max="15920" width="4.69921875" style="33" customWidth="1"/>
    <col min="15921" max="15921" width="8.796875" style="33"/>
    <col min="15922" max="15922" width="0.59765625" style="33" customWidth="1"/>
    <col min="15923" max="15927" width="0" style="33" hidden="1" customWidth="1"/>
    <col min="15928" max="16128" width="8.796875" style="33"/>
    <col min="16129" max="16129" width="2.296875" style="33" customWidth="1"/>
    <col min="16130" max="16130" width="7.3984375" style="33" customWidth="1"/>
    <col min="16131" max="16131" width="20.59765625" style="33" customWidth="1"/>
    <col min="16132" max="16132" width="2" style="33" customWidth="1"/>
    <col min="16133" max="16133" width="10.8984375" style="33" customWidth="1"/>
    <col min="16134" max="16134" width="4.09765625" style="33" customWidth="1"/>
    <col min="16135" max="16135" width="4.796875" style="33" customWidth="1"/>
    <col min="16136" max="16136" width="25.296875" style="33" customWidth="1"/>
    <col min="16137" max="16137" width="11.296875" style="33" customWidth="1"/>
    <col min="16138" max="16141" width="0" style="33" hidden="1" customWidth="1"/>
    <col min="16142" max="16142" width="10.19921875" style="33" customWidth="1"/>
    <col min="16143" max="16143" width="9.59765625" style="33" customWidth="1"/>
    <col min="16144" max="16146" width="0.8984375" style="33" customWidth="1"/>
    <col min="16147" max="16156" width="0.5" style="33" customWidth="1"/>
    <col min="16157" max="16169" width="0" style="33" hidden="1" customWidth="1"/>
    <col min="16170" max="16171" width="0.5" style="33" customWidth="1"/>
    <col min="16172" max="16172" width="13.5" style="33" customWidth="1"/>
    <col min="16173" max="16173" width="8.796875" style="33"/>
    <col min="16174" max="16175" width="9.09765625" style="33" bestFit="1" customWidth="1"/>
    <col min="16176" max="16176" width="4.69921875" style="33" customWidth="1"/>
    <col min="16177" max="16177" width="8.796875" style="33"/>
    <col min="16178" max="16178" width="0.59765625" style="33" customWidth="1"/>
    <col min="16179" max="16183" width="0" style="33" hidden="1" customWidth="1"/>
    <col min="16184" max="16384" width="8.796875" style="33"/>
  </cols>
  <sheetData>
    <row r="1" spans="1:54" s="24" customFormat="1" ht="28.2" customHeight="1">
      <c r="A1" s="1" t="s">
        <v>0</v>
      </c>
      <c r="B1" s="2" t="s">
        <v>1</v>
      </c>
      <c r="C1" s="3" t="s">
        <v>2</v>
      </c>
      <c r="D1" s="3" t="s">
        <v>3</v>
      </c>
      <c r="E1" s="3" t="s">
        <v>4</v>
      </c>
      <c r="F1" s="3" t="s">
        <v>5</v>
      </c>
      <c r="G1" s="4" t="s">
        <v>6</v>
      </c>
      <c r="H1" s="5"/>
      <c r="I1" s="3" t="s">
        <v>7</v>
      </c>
      <c r="J1" s="6" t="s">
        <v>8</v>
      </c>
      <c r="K1" s="3" t="s">
        <v>9</v>
      </c>
      <c r="L1" s="7" t="s">
        <v>10</v>
      </c>
      <c r="M1" s="7" t="s">
        <v>11</v>
      </c>
      <c r="N1" s="8" t="s">
        <v>12</v>
      </c>
      <c r="O1" s="7" t="s">
        <v>13</v>
      </c>
      <c r="P1" s="9" t="s">
        <v>14</v>
      </c>
      <c r="Q1" s="10" t="s">
        <v>15</v>
      </c>
      <c r="R1" s="11" t="s">
        <v>16</v>
      </c>
      <c r="S1" s="12" t="s">
        <v>17</v>
      </c>
      <c r="T1" s="12" t="s">
        <v>18</v>
      </c>
      <c r="U1" s="12" t="s">
        <v>19</v>
      </c>
      <c r="V1" s="12" t="s">
        <v>20</v>
      </c>
      <c r="W1" s="12" t="s">
        <v>21</v>
      </c>
      <c r="X1" s="12" t="s">
        <v>22</v>
      </c>
      <c r="Y1" s="12" t="s">
        <v>23</v>
      </c>
      <c r="Z1" s="12" t="s">
        <v>24</v>
      </c>
      <c r="AA1" s="12" t="s">
        <v>25</v>
      </c>
      <c r="AB1" s="13" t="s">
        <v>26</v>
      </c>
      <c r="AC1" s="14" t="s">
        <v>27</v>
      </c>
      <c r="AD1" s="15"/>
      <c r="AE1" s="15"/>
      <c r="AF1" s="15"/>
      <c r="AG1" s="15"/>
      <c r="AH1" s="15"/>
      <c r="AI1" s="15"/>
      <c r="AJ1" s="15"/>
      <c r="AK1" s="15"/>
      <c r="AL1" s="15"/>
      <c r="AM1" s="15"/>
      <c r="AN1" s="15"/>
      <c r="AO1" s="16"/>
      <c r="AP1" s="17" t="s">
        <v>28</v>
      </c>
      <c r="AQ1" s="17" t="s">
        <v>29</v>
      </c>
      <c r="AR1" s="17" t="s">
        <v>30</v>
      </c>
      <c r="AS1" s="18" t="s">
        <v>31</v>
      </c>
      <c r="AT1" s="19"/>
      <c r="AU1" s="20"/>
      <c r="AV1" s="17" t="s">
        <v>32</v>
      </c>
      <c r="AW1" s="21" t="s">
        <v>33</v>
      </c>
      <c r="AX1" s="22" t="s">
        <v>34</v>
      </c>
      <c r="AY1" s="22" t="s">
        <v>35</v>
      </c>
      <c r="AZ1" s="23" t="s">
        <v>36</v>
      </c>
      <c r="BA1" s="23"/>
      <c r="BB1" s="23"/>
    </row>
    <row r="2" spans="1:54" ht="15.6" customHeight="1" thickBot="1">
      <c r="A2" s="25"/>
      <c r="B2" s="26"/>
      <c r="C2" s="3"/>
      <c r="D2" s="3"/>
      <c r="E2" s="3"/>
      <c r="F2" s="3"/>
      <c r="G2" s="27" t="s">
        <v>37</v>
      </c>
      <c r="H2" s="28" t="s">
        <v>38</v>
      </c>
      <c r="I2" s="3"/>
      <c r="J2" s="29"/>
      <c r="K2" s="3"/>
      <c r="L2" s="7"/>
      <c r="M2" s="7"/>
      <c r="N2" s="8"/>
      <c r="O2" s="7"/>
      <c r="P2" s="30"/>
      <c r="Q2" s="31"/>
      <c r="R2" s="32"/>
      <c r="AC2" s="18"/>
      <c r="AD2" s="19"/>
      <c r="AE2" s="19"/>
      <c r="AF2" s="19"/>
      <c r="AG2" s="19"/>
      <c r="AH2" s="19"/>
      <c r="AI2" s="19"/>
      <c r="AJ2" s="19"/>
      <c r="AK2" s="19"/>
      <c r="AL2" s="19"/>
      <c r="AM2" s="19"/>
      <c r="AN2" s="19"/>
      <c r="AO2" s="20"/>
      <c r="AP2" s="17"/>
      <c r="AQ2" s="17"/>
      <c r="AR2" s="17"/>
      <c r="AS2" s="27" t="s">
        <v>39</v>
      </c>
      <c r="AT2" s="28" t="s">
        <v>40</v>
      </c>
      <c r="AU2" s="28" t="s">
        <v>41</v>
      </c>
      <c r="AV2" s="17"/>
      <c r="AW2" s="21"/>
      <c r="AX2" s="22"/>
      <c r="AY2" s="22"/>
      <c r="AZ2" s="34" t="s">
        <v>42</v>
      </c>
      <c r="BA2" s="34" t="s">
        <v>43</v>
      </c>
      <c r="BB2" s="34" t="s">
        <v>44</v>
      </c>
    </row>
    <row r="3" spans="1:54" s="56" customFormat="1" ht="21" customHeight="1" thickBot="1">
      <c r="A3" s="35">
        <v>7</v>
      </c>
      <c r="B3" s="36" t="s">
        <v>45</v>
      </c>
      <c r="C3" s="37" t="s">
        <v>46</v>
      </c>
      <c r="D3" s="37" t="s">
        <v>47</v>
      </c>
      <c r="E3" s="38">
        <v>39844</v>
      </c>
      <c r="F3" s="39" t="s">
        <v>48</v>
      </c>
      <c r="G3" s="40">
        <v>2522</v>
      </c>
      <c r="H3" s="41">
        <v>149401</v>
      </c>
      <c r="I3" s="41">
        <v>149401</v>
      </c>
      <c r="J3" s="42" t="s">
        <v>49</v>
      </c>
      <c r="K3" s="43">
        <v>36841</v>
      </c>
      <c r="L3" s="44" t="s">
        <v>50</v>
      </c>
      <c r="M3" s="44"/>
      <c r="N3" s="45" t="s">
        <v>51</v>
      </c>
      <c r="O3" s="36">
        <v>100000</v>
      </c>
      <c r="P3" s="36"/>
      <c r="Q3" s="36"/>
      <c r="R3" s="46" t="s">
        <v>52</v>
      </c>
      <c r="S3" s="47">
        <v>1</v>
      </c>
      <c r="T3" s="48" t="s">
        <v>53</v>
      </c>
      <c r="U3" s="49">
        <v>46253</v>
      </c>
      <c r="V3" s="50">
        <v>100000</v>
      </c>
      <c r="W3" s="50">
        <v>100000</v>
      </c>
      <c r="X3" s="50">
        <v>100000</v>
      </c>
      <c r="Y3" s="51"/>
      <c r="Z3" s="52"/>
      <c r="AA3" s="52"/>
      <c r="AB3" s="52"/>
      <c r="AC3" s="52"/>
      <c r="AD3" s="52" t="s">
        <v>54</v>
      </c>
      <c r="AE3" s="53" t="s">
        <v>55</v>
      </c>
      <c r="AF3" s="35">
        <v>1200</v>
      </c>
      <c r="AG3" s="54" t="s">
        <v>56</v>
      </c>
      <c r="AH3" s="54"/>
      <c r="AI3" s="54"/>
      <c r="AJ3" s="53"/>
      <c r="AK3" s="53"/>
      <c r="AL3" s="54" t="s">
        <v>57</v>
      </c>
      <c r="AM3" s="55">
        <v>17.559172497718283</v>
      </c>
      <c r="AR3" s="53" t="s">
        <v>55</v>
      </c>
      <c r="AS3" s="57">
        <v>46253</v>
      </c>
      <c r="AT3" s="57">
        <v>46256</v>
      </c>
      <c r="AU3" s="57">
        <v>46620</v>
      </c>
      <c r="AW3" s="58" t="s">
        <v>56</v>
      </c>
    </row>
    <row r="4" spans="1:54" s="84" customFormat="1" ht="18.75" customHeight="1">
      <c r="A4" s="59">
        <f>A3+1</f>
        <v>8</v>
      </c>
      <c r="B4" s="60" t="str">
        <f>CONCATENATE(C4," ", AR4,)</f>
        <v>Будник Людмила  Руслановна SYS3061584666</v>
      </c>
      <c r="C4" s="61" t="s">
        <v>58</v>
      </c>
      <c r="D4" s="59" t="s">
        <v>47</v>
      </c>
      <c r="E4" s="62">
        <v>41821</v>
      </c>
      <c r="F4" s="63" t="s">
        <v>59</v>
      </c>
      <c r="G4" s="64" t="s">
        <v>60</v>
      </c>
      <c r="H4" s="64" t="s">
        <v>61</v>
      </c>
      <c r="I4" s="61" t="s">
        <v>62</v>
      </c>
      <c r="J4" s="62">
        <v>40363</v>
      </c>
      <c r="K4" s="65" t="s">
        <v>52</v>
      </c>
      <c r="L4" s="66">
        <v>1</v>
      </c>
      <c r="M4" s="67" t="s">
        <v>53</v>
      </c>
      <c r="N4" s="68">
        <v>44880</v>
      </c>
      <c r="O4" s="69">
        <v>100000</v>
      </c>
      <c r="P4" s="70">
        <f>O4</f>
        <v>100000</v>
      </c>
      <c r="Q4" s="71"/>
      <c r="R4" s="72">
        <f>O4</f>
        <v>100000</v>
      </c>
      <c r="S4" s="73"/>
      <c r="T4" s="73"/>
      <c r="U4" s="73"/>
      <c r="V4" s="73"/>
      <c r="W4" s="73"/>
      <c r="X4" s="73"/>
      <c r="Y4" s="73"/>
      <c r="Z4" s="73"/>
      <c r="AA4" s="73"/>
      <c r="AB4" s="74"/>
      <c r="AC4" s="61" t="s">
        <v>63</v>
      </c>
      <c r="AD4" s="75"/>
      <c r="AE4" s="75"/>
      <c r="AF4" s="75"/>
      <c r="AG4" s="75"/>
      <c r="AH4" s="75"/>
      <c r="AI4" s="75"/>
      <c r="AJ4" s="75"/>
      <c r="AK4" s="75"/>
      <c r="AL4" s="75"/>
      <c r="AM4" s="75"/>
      <c r="AN4" s="75"/>
      <c r="AO4" s="76"/>
      <c r="AP4" s="77" t="s">
        <v>64</v>
      </c>
      <c r="AQ4" s="63"/>
      <c r="AR4" s="78" t="s">
        <v>65</v>
      </c>
      <c r="AS4" s="79">
        <v>46248</v>
      </c>
      <c r="AT4" s="80">
        <f>AS4+1</f>
        <v>46249</v>
      </c>
      <c r="AU4" s="80">
        <f>AT4+364</f>
        <v>46613</v>
      </c>
      <c r="AV4" s="81">
        <v>585</v>
      </c>
      <c r="AW4" s="82" t="s">
        <v>66</v>
      </c>
      <c r="AX4" s="83" t="s">
        <v>67</v>
      </c>
      <c r="AY4" s="61" t="s">
        <v>68</v>
      </c>
      <c r="AZ4" s="61" t="s">
        <v>69</v>
      </c>
      <c r="BA4" s="61"/>
      <c r="BB4" s="61"/>
    </row>
    <row r="5" spans="1:54" s="84" customFormat="1" ht="18.75" customHeight="1">
      <c r="A5" s="59">
        <f>A4+1</f>
        <v>9</v>
      </c>
      <c r="B5" s="60" t="str">
        <f>CONCATENATE(C5," ", AR5,)</f>
        <v>Гусельникова Агата Денисовна SYS3061584666</v>
      </c>
      <c r="C5" s="61" t="s">
        <v>70</v>
      </c>
      <c r="D5" s="59" t="s">
        <v>47</v>
      </c>
      <c r="E5" s="62">
        <v>40823</v>
      </c>
      <c r="F5" s="64" t="s">
        <v>71</v>
      </c>
      <c r="G5" s="64" t="s">
        <v>72</v>
      </c>
      <c r="H5" s="61">
        <v>549546</v>
      </c>
      <c r="I5" s="62" t="s">
        <v>73</v>
      </c>
      <c r="J5" s="85">
        <v>40828</v>
      </c>
      <c r="K5" s="65" t="s">
        <v>52</v>
      </c>
      <c r="L5" s="66">
        <v>1</v>
      </c>
      <c r="M5" s="67" t="s">
        <v>53</v>
      </c>
      <c r="N5" s="68">
        <v>44880</v>
      </c>
      <c r="O5" s="69">
        <v>100000</v>
      </c>
      <c r="P5" s="70">
        <f>O5</f>
        <v>100000</v>
      </c>
      <c r="Q5" s="71"/>
      <c r="R5" s="72">
        <f>O5</f>
        <v>100000</v>
      </c>
      <c r="S5" s="73"/>
      <c r="T5" s="73"/>
      <c r="U5" s="73"/>
      <c r="V5" s="73"/>
      <c r="W5" s="73"/>
      <c r="X5" s="73"/>
      <c r="Y5" s="73"/>
      <c r="Z5" s="73"/>
      <c r="AA5" s="73"/>
      <c r="AB5" s="74"/>
      <c r="AC5" s="61" t="s">
        <v>63</v>
      </c>
      <c r="AD5" s="75"/>
      <c r="AE5" s="75"/>
      <c r="AF5" s="75"/>
      <c r="AG5" s="75"/>
      <c r="AH5" s="75"/>
      <c r="AI5" s="75"/>
      <c r="AJ5" s="75"/>
      <c r="AK5" s="75"/>
      <c r="AL5" s="75"/>
      <c r="AM5" s="75"/>
      <c r="AN5" s="75"/>
      <c r="AO5" s="76"/>
      <c r="AP5" s="86" t="s">
        <v>64</v>
      </c>
      <c r="AQ5" s="63"/>
      <c r="AR5" s="78" t="s">
        <v>65</v>
      </c>
      <c r="AS5" s="79">
        <v>46248</v>
      </c>
      <c r="AT5" s="80">
        <f>AS5+1</f>
        <v>46249</v>
      </c>
      <c r="AU5" s="80">
        <f>AT5+364</f>
        <v>46613</v>
      </c>
      <c r="AV5" s="81">
        <v>585</v>
      </c>
      <c r="AW5" s="82" t="s">
        <v>74</v>
      </c>
      <c r="AX5" s="83" t="s">
        <v>67</v>
      </c>
      <c r="AY5" s="61" t="s">
        <v>68</v>
      </c>
      <c r="AZ5" s="61" t="s">
        <v>69</v>
      </c>
      <c r="BA5" s="61"/>
      <c r="BB5" s="61"/>
    </row>
    <row r="6" spans="1:54" s="84" customFormat="1" ht="18.75" customHeight="1">
      <c r="A6" s="59">
        <f>A5+1</f>
        <v>10</v>
      </c>
      <c r="B6" s="60" t="str">
        <f>CONCATENATE(C6," ", AR6,)</f>
        <v>Зименок Кирилл Витальевич SYS3061584666</v>
      </c>
      <c r="C6" s="61" t="s">
        <v>75</v>
      </c>
      <c r="D6" s="59" t="s">
        <v>76</v>
      </c>
      <c r="E6" s="62">
        <v>41366</v>
      </c>
      <c r="F6" s="64" t="s">
        <v>77</v>
      </c>
      <c r="G6" s="64" t="s">
        <v>72</v>
      </c>
      <c r="H6" s="61">
        <v>692359</v>
      </c>
      <c r="I6" s="62" t="s">
        <v>78</v>
      </c>
      <c r="J6" s="85">
        <v>41370</v>
      </c>
      <c r="K6" s="65" t="s">
        <v>52</v>
      </c>
      <c r="L6" s="66">
        <v>1</v>
      </c>
      <c r="M6" s="67" t="s">
        <v>53</v>
      </c>
      <c r="N6" s="68">
        <v>44880</v>
      </c>
      <c r="O6" s="69">
        <v>100000</v>
      </c>
      <c r="P6" s="70">
        <f>O6</f>
        <v>100000</v>
      </c>
      <c r="Q6" s="71"/>
      <c r="R6" s="72">
        <f>O6</f>
        <v>100000</v>
      </c>
      <c r="S6" s="73"/>
      <c r="T6" s="73"/>
      <c r="U6" s="73"/>
      <c r="V6" s="73"/>
      <c r="W6" s="73"/>
      <c r="X6" s="73"/>
      <c r="Y6" s="73"/>
      <c r="Z6" s="73"/>
      <c r="AA6" s="73"/>
      <c r="AB6" s="74"/>
      <c r="AC6" s="61" t="s">
        <v>63</v>
      </c>
      <c r="AD6" s="75"/>
      <c r="AE6" s="75"/>
      <c r="AF6" s="75"/>
      <c r="AG6" s="75"/>
      <c r="AH6" s="75"/>
      <c r="AI6" s="75"/>
      <c r="AJ6" s="75"/>
      <c r="AK6" s="75"/>
      <c r="AL6" s="75"/>
      <c r="AM6" s="75"/>
      <c r="AN6" s="75"/>
      <c r="AO6" s="76"/>
      <c r="AP6" s="86" t="s">
        <v>64</v>
      </c>
      <c r="AQ6" s="63"/>
      <c r="AR6" s="78" t="s">
        <v>65</v>
      </c>
      <c r="AS6" s="79">
        <v>46248</v>
      </c>
      <c r="AT6" s="80">
        <f>AS6+1</f>
        <v>46249</v>
      </c>
      <c r="AU6" s="80">
        <f>AT6+364</f>
        <v>46613</v>
      </c>
      <c r="AV6" s="81">
        <v>585</v>
      </c>
      <c r="AW6" s="82" t="s">
        <v>74</v>
      </c>
      <c r="AX6" s="83" t="s">
        <v>67</v>
      </c>
      <c r="AY6" s="61" t="s">
        <v>68</v>
      </c>
      <c r="AZ6" s="61" t="s">
        <v>69</v>
      </c>
      <c r="BA6" s="61"/>
      <c r="BB6" s="61"/>
    </row>
    <row r="7" spans="1:54" s="84" customFormat="1" ht="18.75" customHeight="1">
      <c r="A7" s="59">
        <f>A6+1</f>
        <v>11</v>
      </c>
      <c r="B7" s="60" t="str">
        <f>CONCATENATE(C7," ", AR7,)</f>
        <v>Дурдыев Роман Дмитриевич SYS3061584666</v>
      </c>
      <c r="C7" s="61" t="s">
        <v>79</v>
      </c>
      <c r="D7" s="59" t="s">
        <v>76</v>
      </c>
      <c r="E7" s="62">
        <v>41275</v>
      </c>
      <c r="F7" s="64" t="s">
        <v>80</v>
      </c>
      <c r="G7" s="64" t="s">
        <v>72</v>
      </c>
      <c r="H7" s="61">
        <v>678472</v>
      </c>
      <c r="I7" s="62" t="s">
        <v>81</v>
      </c>
      <c r="J7" s="85">
        <v>41286</v>
      </c>
      <c r="K7" s="65" t="s">
        <v>52</v>
      </c>
      <c r="L7" s="66">
        <v>1</v>
      </c>
      <c r="M7" s="67" t="s">
        <v>53</v>
      </c>
      <c r="N7" s="68">
        <v>44880</v>
      </c>
      <c r="O7" s="69">
        <v>100000</v>
      </c>
      <c r="P7" s="70">
        <f>O7</f>
        <v>100000</v>
      </c>
      <c r="Q7" s="71"/>
      <c r="R7" s="72">
        <f>O7</f>
        <v>100000</v>
      </c>
      <c r="S7" s="73"/>
      <c r="T7" s="73"/>
      <c r="U7" s="73"/>
      <c r="V7" s="73"/>
      <c r="W7" s="73"/>
      <c r="X7" s="73"/>
      <c r="Y7" s="73"/>
      <c r="Z7" s="73"/>
      <c r="AA7" s="73"/>
      <c r="AB7" s="74"/>
      <c r="AC7" s="61" t="s">
        <v>63</v>
      </c>
      <c r="AD7" s="75"/>
      <c r="AE7" s="75"/>
      <c r="AF7" s="75"/>
      <c r="AG7" s="75"/>
      <c r="AH7" s="75"/>
      <c r="AI7" s="75"/>
      <c r="AJ7" s="75"/>
      <c r="AK7" s="75"/>
      <c r="AL7" s="75"/>
      <c r="AM7" s="75"/>
      <c r="AN7" s="75"/>
      <c r="AO7" s="76"/>
      <c r="AP7" s="86" t="s">
        <v>64</v>
      </c>
      <c r="AQ7" s="63"/>
      <c r="AR7" s="78" t="s">
        <v>65</v>
      </c>
      <c r="AS7" s="79">
        <v>46248</v>
      </c>
      <c r="AT7" s="80">
        <f>AS7+1</f>
        <v>46249</v>
      </c>
      <c r="AU7" s="80">
        <f>AT7+364</f>
        <v>46613</v>
      </c>
      <c r="AV7" s="81">
        <v>585</v>
      </c>
      <c r="AW7" s="82" t="s">
        <v>74</v>
      </c>
      <c r="AX7" s="83" t="s">
        <v>67</v>
      </c>
      <c r="AY7" s="61" t="s">
        <v>68</v>
      </c>
      <c r="AZ7" s="61" t="s">
        <v>69</v>
      </c>
      <c r="BA7" s="61"/>
      <c r="BB7" s="61"/>
    </row>
    <row r="8" spans="1:54">
      <c r="B8" s="87"/>
      <c r="C8" s="87"/>
    </row>
    <row r="9" spans="1:54" ht="13.8" thickBot="1">
      <c r="B9" s="87" t="str">
        <f>CONCATENATE(C9," ", AR9,)</f>
        <v xml:space="preserve">  </v>
      </c>
      <c r="C9" s="87" t="str">
        <f>CONCATENATE(D9," ", AS9,)</f>
        <v xml:space="preserve"> </v>
      </c>
      <c r="AW9" s="87" t="s">
        <v>82</v>
      </c>
    </row>
    <row r="10" spans="1:54" ht="26.4" customHeight="1">
      <c r="C10" s="88" t="s">
        <v>83</v>
      </c>
      <c r="D10" s="89"/>
      <c r="E10" s="89"/>
      <c r="F10" s="89"/>
      <c r="G10" s="89"/>
      <c r="H10" s="89"/>
      <c r="I10" s="90"/>
    </row>
    <row r="11" spans="1:54" ht="17.399999999999999" customHeight="1">
      <c r="C11" s="91" t="str">
        <f>AR3</f>
        <v>SYS3063530994</v>
      </c>
      <c r="D11" s="92"/>
      <c r="E11" s="92"/>
      <c r="F11" s="92"/>
      <c r="G11" s="93" t="s">
        <v>84</v>
      </c>
      <c r="H11" s="94">
        <f>AS3</f>
        <v>46253</v>
      </c>
      <c r="I11" s="95"/>
    </row>
    <row r="12" spans="1:54" ht="28.2" customHeight="1" thickBot="1">
      <c r="C12" s="96" t="s">
        <v>85</v>
      </c>
      <c r="D12" s="97"/>
      <c r="E12" s="97"/>
      <c r="F12" s="97"/>
      <c r="G12" s="97"/>
      <c r="H12" s="97"/>
      <c r="I12" s="98"/>
    </row>
    <row r="13" spans="1:54" ht="18" customHeight="1" thickTop="1" thickBot="1">
      <c r="C13" s="99" t="s">
        <v>42</v>
      </c>
      <c r="D13" s="100"/>
      <c r="E13" s="101" t="str">
        <f>C3</f>
        <v>Берегуленко Арина Андреевна</v>
      </c>
      <c r="F13" s="102"/>
      <c r="G13" s="102"/>
      <c r="H13" s="102"/>
      <c r="I13" s="103"/>
    </row>
    <row r="14" spans="1:54" ht="15" thickTop="1" thickBot="1">
      <c r="C14" s="99" t="s">
        <v>86</v>
      </c>
      <c r="D14" s="100"/>
      <c r="E14" s="104">
        <f>E3</f>
        <v>39844</v>
      </c>
      <c r="F14" s="104"/>
      <c r="G14" s="104"/>
      <c r="H14" s="104"/>
      <c r="I14" s="105"/>
    </row>
    <row r="15" spans="1:54" ht="24" thickTop="1" thickBot="1">
      <c r="C15" s="106" t="s">
        <v>87</v>
      </c>
      <c r="D15" s="107">
        <f>G3</f>
        <v>2522</v>
      </c>
      <c r="E15" s="108"/>
      <c r="F15" s="109">
        <f>H3</f>
        <v>149401</v>
      </c>
      <c r="G15" s="110"/>
      <c r="H15" s="110"/>
      <c r="I15" s="111"/>
    </row>
    <row r="16" spans="1:54" ht="22.8" customHeight="1" thickTop="1" thickBot="1">
      <c r="C16" s="112" t="s">
        <v>88</v>
      </c>
      <c r="D16" s="113"/>
      <c r="E16" s="113"/>
      <c r="F16" s="113"/>
      <c r="G16" s="113"/>
      <c r="H16" s="113"/>
      <c r="I16" s="114"/>
    </row>
    <row r="17" spans="3:51" ht="15" customHeight="1" thickTop="1" thickBot="1">
      <c r="C17" s="115" t="s">
        <v>89</v>
      </c>
      <c r="D17" s="116">
        <f>AT3</f>
        <v>46256</v>
      </c>
      <c r="E17" s="117"/>
      <c r="F17" s="118" t="s">
        <v>64</v>
      </c>
      <c r="G17" s="119">
        <f>AU3</f>
        <v>46620</v>
      </c>
      <c r="H17" s="119"/>
    </row>
    <row r="18" spans="3:51" ht="54" customHeight="1" thickTop="1" thickBot="1">
      <c r="C18" s="99" t="s">
        <v>90</v>
      </c>
      <c r="D18" s="120" t="s">
        <v>91</v>
      </c>
      <c r="E18" s="120"/>
      <c r="F18" s="120"/>
      <c r="G18" s="120"/>
      <c r="H18" s="120"/>
      <c r="I18" s="121"/>
      <c r="AS18" s="33" t="s">
        <v>125</v>
      </c>
    </row>
    <row r="19" spans="3:51" ht="24" customHeight="1" thickTop="1" thickBot="1">
      <c r="C19" s="106" t="s">
        <v>92</v>
      </c>
      <c r="D19" s="122" t="s">
        <v>93</v>
      </c>
      <c r="E19" s="122"/>
      <c r="F19" s="122"/>
      <c r="G19" s="122"/>
      <c r="H19" s="122"/>
      <c r="I19" s="123"/>
      <c r="AR19" s="171" t="s">
        <v>92</v>
      </c>
      <c r="AS19" s="172" t="s">
        <v>122</v>
      </c>
      <c r="AT19" s="173"/>
      <c r="AU19" s="173"/>
      <c r="AV19" s="173"/>
      <c r="AW19" s="173"/>
      <c r="AX19" s="173"/>
      <c r="AY19" s="174"/>
    </row>
    <row r="20" spans="3:51" ht="45.6" customHeight="1" thickTop="1">
      <c r="C20" s="124" t="s">
        <v>94</v>
      </c>
      <c r="D20" s="125" t="s">
        <v>95</v>
      </c>
      <c r="E20" s="125"/>
      <c r="F20" s="125"/>
      <c r="G20" s="125"/>
      <c r="H20" s="125"/>
      <c r="I20" s="126"/>
      <c r="AR20" s="175" t="s">
        <v>94</v>
      </c>
      <c r="AS20" s="177" t="s">
        <v>123</v>
      </c>
      <c r="AT20" s="178"/>
      <c r="AU20" s="178"/>
      <c r="AV20" s="178"/>
      <c r="AW20" s="178"/>
      <c r="AX20" s="178"/>
      <c r="AY20" s="179"/>
    </row>
    <row r="21" spans="3:51" ht="27" customHeight="1" thickBot="1">
      <c r="C21" s="127"/>
      <c r="D21" s="128"/>
      <c r="E21" s="129" t="str">
        <f>AW3</f>
        <v>Армрестлинг</v>
      </c>
      <c r="F21" s="129"/>
      <c r="G21" s="129"/>
      <c r="H21" s="129"/>
      <c r="I21" s="130"/>
      <c r="AR21" s="176"/>
      <c r="AS21" s="180" t="s">
        <v>124</v>
      </c>
      <c r="AT21" s="181"/>
      <c r="AU21" s="181"/>
      <c r="AV21" s="181"/>
      <c r="AW21" s="181"/>
      <c r="AX21" s="181"/>
      <c r="AY21" s="182"/>
    </row>
    <row r="22" spans="3:51" ht="31.2" customHeight="1" thickTop="1" thickBot="1">
      <c r="C22" s="131" t="s">
        <v>96</v>
      </c>
      <c r="D22" s="132"/>
      <c r="E22" s="133" t="s">
        <v>97</v>
      </c>
      <c r="F22" s="133"/>
      <c r="G22" s="133"/>
      <c r="H22" s="133"/>
      <c r="I22" s="134" t="s">
        <v>98</v>
      </c>
    </row>
    <row r="23" spans="3:51" ht="36" customHeight="1" thickTop="1" thickBot="1">
      <c r="C23" s="135" t="s">
        <v>99</v>
      </c>
      <c r="D23" s="136" t="s">
        <v>100</v>
      </c>
      <c r="E23" s="137"/>
      <c r="F23" s="137"/>
      <c r="G23" s="137"/>
      <c r="H23" s="138"/>
      <c r="I23" s="139">
        <f>O3</f>
        <v>100000</v>
      </c>
    </row>
    <row r="24" spans="3:51" ht="85.2" customHeight="1" thickTop="1" thickBot="1">
      <c r="C24" s="140" t="s">
        <v>101</v>
      </c>
      <c r="D24" s="141" t="s">
        <v>102</v>
      </c>
      <c r="E24" s="142"/>
      <c r="F24" s="142"/>
      <c r="G24" s="142"/>
      <c r="H24" s="143"/>
      <c r="I24" s="144">
        <f>I23</f>
        <v>100000</v>
      </c>
      <c r="AW24" s="33" t="s">
        <v>103</v>
      </c>
    </row>
    <row r="25" spans="3:51" ht="46.8" customHeight="1" thickTop="1" thickBot="1">
      <c r="C25" s="140" t="s">
        <v>104</v>
      </c>
      <c r="D25" s="141" t="s">
        <v>105</v>
      </c>
      <c r="E25" s="142"/>
      <c r="F25" s="142"/>
      <c r="G25" s="142"/>
      <c r="H25" s="143"/>
      <c r="I25" s="145">
        <f>I24</f>
        <v>100000</v>
      </c>
    </row>
    <row r="26" spans="3:51" ht="14.4" customHeight="1" thickTop="1">
      <c r="C26" s="146" t="s">
        <v>106</v>
      </c>
      <c r="D26" s="147"/>
      <c r="E26" s="147"/>
      <c r="F26" s="147"/>
      <c r="G26" s="147"/>
      <c r="H26" s="147"/>
      <c r="I26" s="148"/>
    </row>
    <row r="27" spans="3:51">
      <c r="C27" s="149" t="s">
        <v>107</v>
      </c>
      <c r="D27" s="150"/>
      <c r="E27" s="150"/>
      <c r="F27" s="150"/>
      <c r="G27" s="150"/>
      <c r="H27" s="150"/>
      <c r="I27" s="151"/>
    </row>
    <row r="28" spans="3:51" ht="21.6" customHeight="1">
      <c r="C28" s="149" t="s">
        <v>108</v>
      </c>
      <c r="D28" s="150"/>
      <c r="E28" s="150"/>
      <c r="F28" s="150"/>
      <c r="G28" s="150"/>
      <c r="H28" s="150"/>
      <c r="I28" s="151"/>
    </row>
    <row r="29" spans="3:51">
      <c r="C29" s="152" t="s">
        <v>109</v>
      </c>
      <c r="D29" s="153"/>
      <c r="E29" s="153"/>
      <c r="F29" s="153"/>
      <c r="G29" s="153"/>
      <c r="H29" s="153"/>
      <c r="I29" s="154"/>
    </row>
    <row r="30" spans="3:51">
      <c r="C30" s="152" t="s">
        <v>110</v>
      </c>
      <c r="D30" s="153"/>
      <c r="E30" s="153"/>
      <c r="F30" s="153"/>
      <c r="G30" s="153"/>
      <c r="H30" s="153"/>
      <c r="I30" s="154"/>
    </row>
    <row r="31" spans="3:51">
      <c r="C31" s="152" t="s">
        <v>111</v>
      </c>
      <c r="D31" s="153"/>
      <c r="E31" s="153"/>
      <c r="F31" s="153"/>
      <c r="G31" s="153"/>
      <c r="H31" s="153"/>
      <c r="I31" s="154"/>
    </row>
    <row r="32" spans="3:51">
      <c r="C32" s="149" t="s">
        <v>112</v>
      </c>
      <c r="D32" s="150"/>
      <c r="E32" s="150"/>
      <c r="F32" s="150"/>
      <c r="G32" s="150"/>
      <c r="H32" s="150"/>
      <c r="I32" s="151"/>
    </row>
    <row r="33" spans="3:49" ht="21.6" customHeight="1">
      <c r="C33" s="155" t="s">
        <v>113</v>
      </c>
      <c r="D33" s="156"/>
      <c r="E33" s="156"/>
      <c r="F33" s="156"/>
      <c r="G33" s="156"/>
      <c r="H33" s="156"/>
      <c r="I33" s="157"/>
    </row>
    <row r="34" spans="3:49">
      <c r="C34" s="158" t="s">
        <v>114</v>
      </c>
      <c r="D34" s="159"/>
      <c r="E34" s="159"/>
      <c r="F34" s="159"/>
      <c r="G34" s="159"/>
      <c r="H34" s="159"/>
      <c r="I34" s="160"/>
    </row>
    <row r="35" spans="3:49">
      <c r="C35" s="158" t="s">
        <v>115</v>
      </c>
      <c r="D35" s="159"/>
      <c r="E35" s="159"/>
      <c r="F35" s="159"/>
      <c r="G35" s="159"/>
      <c r="H35" s="159"/>
      <c r="I35" s="160"/>
    </row>
    <row r="36" spans="3:49">
      <c r="C36" s="158" t="s">
        <v>116</v>
      </c>
      <c r="D36" s="159"/>
      <c r="E36" s="159"/>
      <c r="F36" s="159"/>
      <c r="G36" s="159"/>
      <c r="H36" s="159"/>
      <c r="I36" s="160"/>
      <c r="AW36" s="161"/>
    </row>
    <row r="37" spans="3:49" s="162" customFormat="1" ht="9.6" customHeight="1">
      <c r="C37" s="163" t="s">
        <v>117</v>
      </c>
      <c r="D37" s="164"/>
      <c r="E37" s="164"/>
      <c r="F37" s="164"/>
      <c r="G37" s="164"/>
      <c r="H37" s="164"/>
      <c r="I37" s="165"/>
    </row>
    <row r="38" spans="3:49" ht="52.2" customHeight="1">
      <c r="C38" s="149" t="s">
        <v>118</v>
      </c>
      <c r="D38" s="150"/>
      <c r="E38" s="150"/>
      <c r="F38" s="150"/>
      <c r="G38" s="150"/>
      <c r="H38" s="150"/>
      <c r="I38" s="151"/>
    </row>
    <row r="39" spans="3:49" ht="22.8" customHeight="1">
      <c r="C39" s="149" t="s">
        <v>119</v>
      </c>
      <c r="D39" s="150"/>
      <c r="E39" s="150"/>
      <c r="F39" s="150"/>
      <c r="G39" s="150"/>
      <c r="H39" s="150"/>
      <c r="I39" s="151"/>
    </row>
    <row r="40" spans="3:49" ht="31.2" customHeight="1" thickBot="1">
      <c r="C40" s="166" t="s">
        <v>120</v>
      </c>
      <c r="D40" s="167"/>
      <c r="E40" s="167"/>
      <c r="F40" s="167"/>
      <c r="G40" s="167"/>
      <c r="H40" s="167"/>
      <c r="I40" s="168"/>
    </row>
    <row r="41" spans="3:49" ht="26.4" customHeight="1">
      <c r="C41" s="88" t="s">
        <v>83</v>
      </c>
      <c r="D41" s="89"/>
      <c r="E41" s="89"/>
      <c r="F41" s="89"/>
      <c r="G41" s="89"/>
      <c r="H41" s="89"/>
      <c r="I41" s="90"/>
    </row>
    <row r="42" spans="3:49" ht="17.399999999999999" customHeight="1">
      <c r="C42" s="91" t="str">
        <f>AR4</f>
        <v>SYS3061584666</v>
      </c>
      <c r="D42" s="92"/>
      <c r="E42" s="92"/>
      <c r="F42" s="92"/>
      <c r="G42" s="93" t="s">
        <v>84</v>
      </c>
      <c r="H42" s="94">
        <f>AS4</f>
        <v>46248</v>
      </c>
      <c r="I42" s="95"/>
    </row>
    <row r="43" spans="3:49" ht="28.2" customHeight="1" thickBot="1">
      <c r="C43" s="96" t="s">
        <v>85</v>
      </c>
      <c r="D43" s="97"/>
      <c r="E43" s="97"/>
      <c r="F43" s="97"/>
      <c r="G43" s="97"/>
      <c r="H43" s="97"/>
      <c r="I43" s="98"/>
    </row>
    <row r="44" spans="3:49" ht="18" customHeight="1" thickTop="1" thickBot="1">
      <c r="C44" s="99" t="s">
        <v>42</v>
      </c>
      <c r="D44" s="100"/>
      <c r="E44" s="101" t="str">
        <f>C4</f>
        <v>Будник Людмила  Руслановна</v>
      </c>
      <c r="F44" s="102"/>
      <c r="G44" s="102"/>
      <c r="H44" s="102"/>
      <c r="I44" s="103"/>
    </row>
    <row r="45" spans="3:49" ht="15" thickTop="1" thickBot="1">
      <c r="C45" s="99" t="s">
        <v>86</v>
      </c>
      <c r="D45" s="100"/>
      <c r="E45" s="104">
        <f>E4</f>
        <v>41821</v>
      </c>
      <c r="F45" s="104"/>
      <c r="G45" s="104"/>
      <c r="H45" s="104"/>
      <c r="I45" s="105"/>
    </row>
    <row r="46" spans="3:49" ht="24" thickTop="1" thickBot="1">
      <c r="C46" s="106" t="s">
        <v>87</v>
      </c>
      <c r="D46" s="107" t="str">
        <f>G4</f>
        <v>IV-АГ</v>
      </c>
      <c r="E46" s="108"/>
      <c r="F46" s="109" t="str">
        <f>H4</f>
        <v>806448</v>
      </c>
      <c r="G46" s="110"/>
      <c r="H46" s="110"/>
      <c r="I46" s="111"/>
    </row>
    <row r="47" spans="3:49" ht="22.8" customHeight="1" thickTop="1" thickBot="1">
      <c r="C47" s="112" t="s">
        <v>88</v>
      </c>
      <c r="D47" s="113"/>
      <c r="E47" s="113"/>
      <c r="F47" s="113"/>
      <c r="G47" s="113"/>
      <c r="H47" s="113"/>
      <c r="I47" s="114"/>
    </row>
    <row r="48" spans="3:49" ht="15" customHeight="1" thickTop="1" thickBot="1">
      <c r="C48" s="115" t="s">
        <v>89</v>
      </c>
      <c r="D48" s="116">
        <f>AT4</f>
        <v>46249</v>
      </c>
      <c r="E48" s="117"/>
      <c r="F48" s="118" t="s">
        <v>64</v>
      </c>
      <c r="G48" s="119">
        <f>AU4</f>
        <v>46613</v>
      </c>
      <c r="H48" s="119"/>
    </row>
    <row r="49" spans="3:49" ht="54" customHeight="1" thickTop="1" thickBot="1">
      <c r="C49" s="99" t="s">
        <v>90</v>
      </c>
      <c r="D49" s="120" t="s">
        <v>91</v>
      </c>
      <c r="E49" s="120"/>
      <c r="F49" s="120"/>
      <c r="G49" s="120"/>
      <c r="H49" s="120"/>
      <c r="I49" s="121"/>
    </row>
    <row r="50" spans="3:49" ht="24" customHeight="1" thickTop="1" thickBot="1">
      <c r="C50" s="106" t="s">
        <v>92</v>
      </c>
      <c r="D50" s="122" t="s">
        <v>93</v>
      </c>
      <c r="E50" s="122"/>
      <c r="F50" s="122"/>
      <c r="G50" s="122"/>
      <c r="H50" s="122"/>
      <c r="I50" s="123"/>
    </row>
    <row r="51" spans="3:49" ht="31.2" customHeight="1" thickTop="1">
      <c r="C51" s="124" t="s">
        <v>94</v>
      </c>
      <c r="D51" s="125" t="s">
        <v>95</v>
      </c>
      <c r="E51" s="125"/>
      <c r="F51" s="125"/>
      <c r="G51" s="125"/>
      <c r="H51" s="125"/>
      <c r="I51" s="126"/>
    </row>
    <row r="52" spans="3:49" ht="27" customHeight="1" thickBot="1">
      <c r="C52" s="127"/>
      <c r="E52" s="169" t="str">
        <f>AW4</f>
        <v>Тхэквондо, Восточные единоборства, Плавание</v>
      </c>
      <c r="F52" s="169"/>
      <c r="G52" s="169"/>
      <c r="H52" s="169"/>
      <c r="I52" s="170"/>
    </row>
    <row r="53" spans="3:49" ht="31.2" customHeight="1" thickTop="1" thickBot="1">
      <c r="C53" s="131" t="s">
        <v>96</v>
      </c>
      <c r="D53" s="132"/>
      <c r="E53" s="133" t="s">
        <v>97</v>
      </c>
      <c r="F53" s="133"/>
      <c r="G53" s="133"/>
      <c r="H53" s="133"/>
      <c r="I53" s="134" t="s">
        <v>98</v>
      </c>
    </row>
    <row r="54" spans="3:49" ht="36" customHeight="1" thickTop="1" thickBot="1">
      <c r="C54" s="135" t="s">
        <v>99</v>
      </c>
      <c r="D54" s="136" t="s">
        <v>100</v>
      </c>
      <c r="E54" s="137"/>
      <c r="F54" s="137"/>
      <c r="G54" s="137"/>
      <c r="H54" s="138"/>
      <c r="I54" s="139">
        <f>O4</f>
        <v>100000</v>
      </c>
    </row>
    <row r="55" spans="3:49" ht="85.2" customHeight="1" thickTop="1" thickBot="1">
      <c r="C55" s="140" t="s">
        <v>101</v>
      </c>
      <c r="D55" s="141" t="s">
        <v>102</v>
      </c>
      <c r="E55" s="142"/>
      <c r="F55" s="142"/>
      <c r="G55" s="142"/>
      <c r="H55" s="143"/>
      <c r="I55" s="144">
        <f>O4</f>
        <v>100000</v>
      </c>
      <c r="AW55" s="33" t="s">
        <v>103</v>
      </c>
    </row>
    <row r="56" spans="3:49" ht="46.8" customHeight="1" thickTop="1" thickBot="1">
      <c r="C56" s="140" t="s">
        <v>104</v>
      </c>
      <c r="D56" s="141" t="s">
        <v>105</v>
      </c>
      <c r="E56" s="142"/>
      <c r="F56" s="142"/>
      <c r="G56" s="142"/>
      <c r="H56" s="143"/>
      <c r="I56" s="145">
        <f>O4</f>
        <v>100000</v>
      </c>
    </row>
    <row r="57" spans="3:49" ht="14.4" customHeight="1" thickTop="1">
      <c r="C57" s="146" t="s">
        <v>106</v>
      </c>
      <c r="D57" s="147"/>
      <c r="E57" s="147"/>
      <c r="F57" s="147"/>
      <c r="G57" s="147"/>
      <c r="H57" s="147"/>
      <c r="I57" s="148"/>
    </row>
    <row r="58" spans="3:49">
      <c r="C58" s="149" t="s">
        <v>107</v>
      </c>
      <c r="D58" s="150"/>
      <c r="E58" s="150"/>
      <c r="F58" s="150"/>
      <c r="G58" s="150"/>
      <c r="H58" s="150"/>
      <c r="I58" s="151"/>
    </row>
    <row r="59" spans="3:49" ht="21.6" customHeight="1">
      <c r="C59" s="149" t="s">
        <v>108</v>
      </c>
      <c r="D59" s="150"/>
      <c r="E59" s="150"/>
      <c r="F59" s="150"/>
      <c r="G59" s="150"/>
      <c r="H59" s="150"/>
      <c r="I59" s="151"/>
    </row>
    <row r="60" spans="3:49">
      <c r="C60" s="152" t="s">
        <v>109</v>
      </c>
      <c r="D60" s="153"/>
      <c r="E60" s="153"/>
      <c r="F60" s="153"/>
      <c r="G60" s="153"/>
      <c r="H60" s="153"/>
      <c r="I60" s="154"/>
    </row>
    <row r="61" spans="3:49">
      <c r="C61" s="152" t="s">
        <v>110</v>
      </c>
      <c r="D61" s="153"/>
      <c r="E61" s="153"/>
      <c r="F61" s="153"/>
      <c r="G61" s="153"/>
      <c r="H61" s="153"/>
      <c r="I61" s="154"/>
    </row>
    <row r="62" spans="3:49">
      <c r="C62" s="152" t="s">
        <v>111</v>
      </c>
      <c r="D62" s="153"/>
      <c r="E62" s="153"/>
      <c r="F62" s="153"/>
      <c r="G62" s="153"/>
      <c r="H62" s="153"/>
      <c r="I62" s="154"/>
    </row>
    <row r="63" spans="3:49">
      <c r="C63" s="149" t="s">
        <v>112</v>
      </c>
      <c r="D63" s="150"/>
      <c r="E63" s="150"/>
      <c r="F63" s="150"/>
      <c r="G63" s="150"/>
      <c r="H63" s="150"/>
      <c r="I63" s="151"/>
    </row>
    <row r="64" spans="3:49" ht="21.6" customHeight="1">
      <c r="C64" s="155" t="s">
        <v>113</v>
      </c>
      <c r="D64" s="156"/>
      <c r="E64" s="156"/>
      <c r="F64" s="156"/>
      <c r="G64" s="156"/>
      <c r="H64" s="156"/>
      <c r="I64" s="157"/>
    </row>
    <row r="65" spans="3:49">
      <c r="C65" s="158" t="s">
        <v>114</v>
      </c>
      <c r="D65" s="159"/>
      <c r="E65" s="159"/>
      <c r="F65" s="159"/>
      <c r="G65" s="159"/>
      <c r="H65" s="159"/>
      <c r="I65" s="160"/>
    </row>
    <row r="66" spans="3:49">
      <c r="C66" s="158" t="s">
        <v>115</v>
      </c>
      <c r="D66" s="159"/>
      <c r="E66" s="159"/>
      <c r="F66" s="159"/>
      <c r="G66" s="159"/>
      <c r="H66" s="159"/>
      <c r="I66" s="160"/>
    </row>
    <row r="67" spans="3:49">
      <c r="C67" s="158" t="s">
        <v>116</v>
      </c>
      <c r="D67" s="159"/>
      <c r="E67" s="159"/>
      <c r="F67" s="159"/>
      <c r="G67" s="159"/>
      <c r="H67" s="159"/>
      <c r="I67" s="160"/>
      <c r="AW67" s="161"/>
    </row>
    <row r="68" spans="3:49" s="162" customFormat="1" ht="9.6" customHeight="1">
      <c r="C68" s="163" t="s">
        <v>117</v>
      </c>
      <c r="D68" s="164"/>
      <c r="E68" s="164"/>
      <c r="F68" s="164"/>
      <c r="G68" s="164"/>
      <c r="H68" s="164"/>
      <c r="I68" s="165"/>
    </row>
    <row r="69" spans="3:49" ht="52.2" customHeight="1">
      <c r="C69" s="149" t="s">
        <v>118</v>
      </c>
      <c r="D69" s="150"/>
      <c r="E69" s="150"/>
      <c r="F69" s="150"/>
      <c r="G69" s="150"/>
      <c r="H69" s="150"/>
      <c r="I69" s="151"/>
    </row>
    <row r="70" spans="3:49" ht="22.8" customHeight="1">
      <c r="C70" s="149" t="s">
        <v>119</v>
      </c>
      <c r="D70" s="150"/>
      <c r="E70" s="150"/>
      <c r="F70" s="150"/>
      <c r="G70" s="150"/>
      <c r="H70" s="150"/>
      <c r="I70" s="151"/>
    </row>
    <row r="71" spans="3:49" ht="31.2" customHeight="1" thickBot="1">
      <c r="C71" s="166" t="s">
        <v>120</v>
      </c>
      <c r="D71" s="167"/>
      <c r="E71" s="167"/>
      <c r="F71" s="167"/>
      <c r="G71" s="167"/>
      <c r="H71" s="167"/>
      <c r="I71" s="168"/>
    </row>
    <row r="72" spans="3:49" ht="26.4" customHeight="1">
      <c r="C72" s="88" t="s">
        <v>83</v>
      </c>
      <c r="D72" s="89"/>
      <c r="E72" s="89"/>
      <c r="F72" s="89"/>
      <c r="G72" s="89"/>
      <c r="H72" s="89"/>
      <c r="I72" s="90"/>
    </row>
    <row r="73" spans="3:49" ht="17.399999999999999" customHeight="1">
      <c r="C73" s="91" t="str">
        <f>AR5</f>
        <v>SYS3061584666</v>
      </c>
      <c r="D73" s="92"/>
      <c r="E73" s="92"/>
      <c r="F73" s="92"/>
      <c r="G73" s="93" t="s">
        <v>84</v>
      </c>
      <c r="H73" s="94">
        <f>AS5</f>
        <v>46248</v>
      </c>
      <c r="I73" s="95"/>
    </row>
    <row r="74" spans="3:49" ht="28.2" customHeight="1" thickBot="1">
      <c r="C74" s="96" t="s">
        <v>85</v>
      </c>
      <c r="D74" s="97"/>
      <c r="E74" s="97"/>
      <c r="F74" s="97"/>
      <c r="G74" s="97"/>
      <c r="H74" s="97"/>
      <c r="I74" s="98"/>
    </row>
    <row r="75" spans="3:49" ht="18" customHeight="1" thickTop="1" thickBot="1">
      <c r="C75" s="99" t="s">
        <v>42</v>
      </c>
      <c r="D75" s="100"/>
      <c r="E75" s="101" t="str">
        <f>C5</f>
        <v>Гусельникова Агата Денисовна</v>
      </c>
      <c r="F75" s="102"/>
      <c r="G75" s="102"/>
      <c r="H75" s="102"/>
      <c r="I75" s="103"/>
    </row>
    <row r="76" spans="3:49" ht="15" thickTop="1" thickBot="1">
      <c r="C76" s="99" t="s">
        <v>86</v>
      </c>
      <c r="D76" s="100"/>
      <c r="E76" s="104">
        <f>E5</f>
        <v>40823</v>
      </c>
      <c r="F76" s="104"/>
      <c r="G76" s="104"/>
      <c r="H76" s="104"/>
      <c r="I76" s="105"/>
    </row>
    <row r="77" spans="3:49" ht="24" thickTop="1" thickBot="1">
      <c r="C77" s="106" t="s">
        <v>87</v>
      </c>
      <c r="D77" s="107" t="str">
        <f>G5</f>
        <v>V-АГ</v>
      </c>
      <c r="E77" s="108"/>
      <c r="F77" s="109">
        <f>H5</f>
        <v>549546</v>
      </c>
      <c r="G77" s="110"/>
      <c r="H77" s="110"/>
      <c r="I77" s="111"/>
    </row>
    <row r="78" spans="3:49" ht="22.8" customHeight="1" thickTop="1" thickBot="1">
      <c r="C78" s="112" t="s">
        <v>121</v>
      </c>
      <c r="D78" s="113"/>
      <c r="E78" s="113"/>
      <c r="F78" s="113"/>
      <c r="G78" s="113"/>
      <c r="H78" s="113"/>
      <c r="I78" s="114"/>
    </row>
    <row r="79" spans="3:49" ht="15" customHeight="1" thickTop="1" thickBot="1">
      <c r="C79" s="115" t="s">
        <v>89</v>
      </c>
      <c r="D79" s="116">
        <f>AT5</f>
        <v>46249</v>
      </c>
      <c r="E79" s="117"/>
      <c r="F79" s="118" t="s">
        <v>64</v>
      </c>
      <c r="G79" s="119">
        <f>AU5</f>
        <v>46613</v>
      </c>
      <c r="H79" s="119"/>
    </row>
    <row r="80" spans="3:49" ht="54" customHeight="1" thickTop="1" thickBot="1">
      <c r="C80" s="99" t="s">
        <v>90</v>
      </c>
      <c r="D80" s="120" t="s">
        <v>91</v>
      </c>
      <c r="E80" s="120"/>
      <c r="F80" s="120"/>
      <c r="G80" s="120"/>
      <c r="H80" s="120"/>
      <c r="I80" s="121"/>
    </row>
    <row r="81" spans="3:9" ht="24" customHeight="1" thickTop="1" thickBot="1">
      <c r="C81" s="106" t="s">
        <v>92</v>
      </c>
      <c r="D81" s="122" t="s">
        <v>93</v>
      </c>
      <c r="E81" s="122"/>
      <c r="F81" s="122"/>
      <c r="G81" s="122"/>
      <c r="H81" s="122"/>
      <c r="I81" s="123"/>
    </row>
    <row r="82" spans="3:9" ht="31.2" customHeight="1" thickTop="1">
      <c r="C82" s="124" t="s">
        <v>94</v>
      </c>
      <c r="D82" s="125" t="s">
        <v>95</v>
      </c>
      <c r="E82" s="125"/>
      <c r="F82" s="125"/>
      <c r="G82" s="125"/>
      <c r="H82" s="125"/>
      <c r="I82" s="126"/>
    </row>
    <row r="83" spans="3:9" ht="27" customHeight="1" thickBot="1">
      <c r="C83" s="127"/>
      <c r="E83" s="169" t="str">
        <f>AW5</f>
        <v>Тхэквондо, Восточные единоборства</v>
      </c>
      <c r="F83" s="169"/>
      <c r="G83" s="169"/>
      <c r="H83" s="169"/>
      <c r="I83" s="170"/>
    </row>
    <row r="84" spans="3:9" ht="31.2" customHeight="1" thickTop="1" thickBot="1">
      <c r="C84" s="131" t="s">
        <v>96</v>
      </c>
      <c r="D84" s="132"/>
      <c r="E84" s="133" t="s">
        <v>97</v>
      </c>
      <c r="F84" s="133"/>
      <c r="G84" s="133"/>
      <c r="H84" s="133"/>
      <c r="I84" s="134" t="s">
        <v>98</v>
      </c>
    </row>
    <row r="85" spans="3:9" ht="36" customHeight="1" thickTop="1" thickBot="1">
      <c r="C85" s="135" t="s">
        <v>99</v>
      </c>
      <c r="D85" s="136" t="s">
        <v>100</v>
      </c>
      <c r="E85" s="137"/>
      <c r="F85" s="137"/>
      <c r="G85" s="137"/>
      <c r="H85" s="138"/>
      <c r="I85" s="139">
        <f>O5</f>
        <v>100000</v>
      </c>
    </row>
    <row r="86" spans="3:9" ht="85.2" customHeight="1" thickTop="1" thickBot="1">
      <c r="C86" s="140" t="s">
        <v>101</v>
      </c>
      <c r="D86" s="141" t="s">
        <v>102</v>
      </c>
      <c r="E86" s="142"/>
      <c r="F86" s="142"/>
      <c r="G86" s="142"/>
      <c r="H86" s="143"/>
      <c r="I86" s="144">
        <f>O5</f>
        <v>100000</v>
      </c>
    </row>
    <row r="87" spans="3:9" ht="46.8" customHeight="1" thickTop="1" thickBot="1">
      <c r="C87" s="140" t="s">
        <v>104</v>
      </c>
      <c r="D87" s="141" t="s">
        <v>105</v>
      </c>
      <c r="E87" s="142"/>
      <c r="F87" s="142"/>
      <c r="G87" s="142"/>
      <c r="H87" s="143"/>
      <c r="I87" s="145">
        <f>O5</f>
        <v>100000</v>
      </c>
    </row>
    <row r="88" spans="3:9" ht="14.4" customHeight="1" thickTop="1">
      <c r="C88" s="146" t="s">
        <v>106</v>
      </c>
      <c r="D88" s="147"/>
      <c r="E88" s="147"/>
      <c r="F88" s="147"/>
      <c r="G88" s="147"/>
      <c r="H88" s="147"/>
      <c r="I88" s="148"/>
    </row>
    <row r="89" spans="3:9">
      <c r="C89" s="149" t="s">
        <v>107</v>
      </c>
      <c r="D89" s="150"/>
      <c r="E89" s="150"/>
      <c r="F89" s="150"/>
      <c r="G89" s="150"/>
      <c r="H89" s="150"/>
      <c r="I89" s="151"/>
    </row>
    <row r="90" spans="3:9" ht="21.6" customHeight="1">
      <c r="C90" s="149" t="s">
        <v>108</v>
      </c>
      <c r="D90" s="150"/>
      <c r="E90" s="150"/>
      <c r="F90" s="150"/>
      <c r="G90" s="150"/>
      <c r="H90" s="150"/>
      <c r="I90" s="151"/>
    </row>
    <row r="91" spans="3:9">
      <c r="C91" s="152" t="s">
        <v>109</v>
      </c>
      <c r="D91" s="153"/>
      <c r="E91" s="153"/>
      <c r="F91" s="153"/>
      <c r="G91" s="153"/>
      <c r="H91" s="153"/>
      <c r="I91" s="154"/>
    </row>
    <row r="92" spans="3:9">
      <c r="C92" s="152" t="s">
        <v>110</v>
      </c>
      <c r="D92" s="153"/>
      <c r="E92" s="153"/>
      <c r="F92" s="153"/>
      <c r="G92" s="153"/>
      <c r="H92" s="153"/>
      <c r="I92" s="154"/>
    </row>
    <row r="93" spans="3:9">
      <c r="C93" s="152" t="s">
        <v>111</v>
      </c>
      <c r="D93" s="153"/>
      <c r="E93" s="153"/>
      <c r="F93" s="153"/>
      <c r="G93" s="153"/>
      <c r="H93" s="153"/>
      <c r="I93" s="154"/>
    </row>
    <row r="94" spans="3:9">
      <c r="C94" s="149" t="s">
        <v>112</v>
      </c>
      <c r="D94" s="150"/>
      <c r="E94" s="150"/>
      <c r="F94" s="150"/>
      <c r="G94" s="150"/>
      <c r="H94" s="150"/>
      <c r="I94" s="151"/>
    </row>
    <row r="95" spans="3:9" ht="21.6" customHeight="1">
      <c r="C95" s="155" t="s">
        <v>113</v>
      </c>
      <c r="D95" s="156"/>
      <c r="E95" s="156"/>
      <c r="F95" s="156"/>
      <c r="G95" s="156"/>
      <c r="H95" s="156"/>
      <c r="I95" s="157"/>
    </row>
    <row r="96" spans="3:9">
      <c r="C96" s="158" t="s">
        <v>114</v>
      </c>
      <c r="D96" s="159"/>
      <c r="E96" s="159"/>
      <c r="F96" s="159"/>
      <c r="G96" s="159"/>
      <c r="H96" s="159"/>
      <c r="I96" s="160"/>
    </row>
    <row r="97" spans="3:49">
      <c r="C97" s="158" t="s">
        <v>115</v>
      </c>
      <c r="D97" s="159"/>
      <c r="E97" s="159"/>
      <c r="F97" s="159"/>
      <c r="G97" s="159"/>
      <c r="H97" s="159"/>
      <c r="I97" s="160"/>
    </row>
    <row r="98" spans="3:49">
      <c r="C98" s="158" t="s">
        <v>116</v>
      </c>
      <c r="D98" s="159"/>
      <c r="E98" s="159"/>
      <c r="F98" s="159"/>
      <c r="G98" s="159"/>
      <c r="H98" s="159"/>
      <c r="I98" s="160"/>
      <c r="AW98" s="161"/>
    </row>
    <row r="99" spans="3:49" s="162" customFormat="1" ht="9.6" customHeight="1">
      <c r="C99" s="163" t="s">
        <v>117</v>
      </c>
      <c r="D99" s="164"/>
      <c r="E99" s="164"/>
      <c r="F99" s="164"/>
      <c r="G99" s="164"/>
      <c r="H99" s="164"/>
      <c r="I99" s="165"/>
    </row>
    <row r="100" spans="3:49" ht="52.2" customHeight="1">
      <c r="C100" s="149" t="s">
        <v>118</v>
      </c>
      <c r="D100" s="150"/>
      <c r="E100" s="150"/>
      <c r="F100" s="150"/>
      <c r="G100" s="150"/>
      <c r="H100" s="150"/>
      <c r="I100" s="151"/>
    </row>
    <row r="101" spans="3:49" ht="22.8" customHeight="1">
      <c r="C101" s="149" t="s">
        <v>119</v>
      </c>
      <c r="D101" s="150"/>
      <c r="E101" s="150"/>
      <c r="F101" s="150"/>
      <c r="G101" s="150"/>
      <c r="H101" s="150"/>
      <c r="I101" s="151"/>
    </row>
    <row r="102" spans="3:49" ht="31.2" customHeight="1" thickBot="1">
      <c r="C102" s="166" t="s">
        <v>120</v>
      </c>
      <c r="D102" s="167"/>
      <c r="E102" s="167"/>
      <c r="F102" s="167"/>
      <c r="G102" s="167"/>
      <c r="H102" s="167"/>
      <c r="I102" s="168"/>
    </row>
    <row r="103" spans="3:49" ht="26.4" customHeight="1">
      <c r="C103" s="88" t="s">
        <v>83</v>
      </c>
      <c r="D103" s="89"/>
      <c r="E103" s="89"/>
      <c r="F103" s="89"/>
      <c r="G103" s="89"/>
      <c r="H103" s="89"/>
      <c r="I103" s="90"/>
    </row>
    <row r="104" spans="3:49" ht="17.399999999999999" customHeight="1">
      <c r="C104" s="91" t="str">
        <f>AR6</f>
        <v>SYS3061584666</v>
      </c>
      <c r="D104" s="92"/>
      <c r="E104" s="92"/>
      <c r="F104" s="92"/>
      <c r="G104" s="93" t="s">
        <v>84</v>
      </c>
      <c r="H104" s="94">
        <f>AS6</f>
        <v>46248</v>
      </c>
      <c r="I104" s="95"/>
    </row>
    <row r="105" spans="3:49" ht="28.2" customHeight="1" thickBot="1">
      <c r="C105" s="96" t="s">
        <v>85</v>
      </c>
      <c r="D105" s="97"/>
      <c r="E105" s="97"/>
      <c r="F105" s="97"/>
      <c r="G105" s="97"/>
      <c r="H105" s="97"/>
      <c r="I105" s="98"/>
    </row>
    <row r="106" spans="3:49" ht="18" customHeight="1" thickTop="1" thickBot="1">
      <c r="C106" s="99" t="s">
        <v>42</v>
      </c>
      <c r="D106" s="100"/>
      <c r="E106" s="101" t="str">
        <f>C6</f>
        <v>Зименок Кирилл Витальевич</v>
      </c>
      <c r="F106" s="102"/>
      <c r="G106" s="102"/>
      <c r="H106" s="102"/>
      <c r="I106" s="103"/>
    </row>
    <row r="107" spans="3:49" ht="15" thickTop="1" thickBot="1">
      <c r="C107" s="99" t="s">
        <v>86</v>
      </c>
      <c r="D107" s="100"/>
      <c r="E107" s="104">
        <f>E6</f>
        <v>41366</v>
      </c>
      <c r="F107" s="104"/>
      <c r="G107" s="104"/>
      <c r="H107" s="104"/>
      <c r="I107" s="105"/>
    </row>
    <row r="108" spans="3:49" ht="24" thickTop="1" thickBot="1">
      <c r="C108" s="106" t="s">
        <v>87</v>
      </c>
      <c r="D108" s="107" t="str">
        <f>G6</f>
        <v>V-АГ</v>
      </c>
      <c r="E108" s="108"/>
      <c r="F108" s="109">
        <f>H6</f>
        <v>692359</v>
      </c>
      <c r="G108" s="110"/>
      <c r="H108" s="110"/>
      <c r="I108" s="111"/>
    </row>
    <row r="109" spans="3:49" ht="22.8" customHeight="1" thickTop="1" thickBot="1">
      <c r="C109" s="112" t="s">
        <v>88</v>
      </c>
      <c r="D109" s="113"/>
      <c r="E109" s="113"/>
      <c r="F109" s="113"/>
      <c r="G109" s="113"/>
      <c r="H109" s="113"/>
      <c r="I109" s="114"/>
    </row>
    <row r="110" spans="3:49" ht="15" customHeight="1" thickTop="1" thickBot="1">
      <c r="C110" s="115" t="s">
        <v>89</v>
      </c>
      <c r="D110" s="116">
        <f>AT6</f>
        <v>46249</v>
      </c>
      <c r="E110" s="117"/>
      <c r="F110" s="118" t="s">
        <v>64</v>
      </c>
      <c r="G110" s="119">
        <f>AU6</f>
        <v>46613</v>
      </c>
      <c r="H110" s="119"/>
    </row>
    <row r="111" spans="3:49" ht="54" customHeight="1" thickTop="1" thickBot="1">
      <c r="C111" s="99" t="s">
        <v>90</v>
      </c>
      <c r="D111" s="120" t="s">
        <v>91</v>
      </c>
      <c r="E111" s="120"/>
      <c r="F111" s="120"/>
      <c r="G111" s="120"/>
      <c r="H111" s="120"/>
      <c r="I111" s="121"/>
    </row>
    <row r="112" spans="3:49" ht="24" customHeight="1" thickTop="1" thickBot="1">
      <c r="C112" s="106" t="s">
        <v>92</v>
      </c>
      <c r="D112" s="122" t="s">
        <v>93</v>
      </c>
      <c r="E112" s="122"/>
      <c r="F112" s="122"/>
      <c r="G112" s="122"/>
      <c r="H112" s="122"/>
      <c r="I112" s="123"/>
    </row>
    <row r="113" spans="3:49" ht="31.2" customHeight="1" thickTop="1">
      <c r="C113" s="124" t="s">
        <v>94</v>
      </c>
      <c r="D113" s="125" t="s">
        <v>95</v>
      </c>
      <c r="E113" s="125"/>
      <c r="F113" s="125"/>
      <c r="G113" s="125"/>
      <c r="H113" s="125"/>
      <c r="I113" s="126"/>
    </row>
    <row r="114" spans="3:49" ht="27" customHeight="1" thickBot="1">
      <c r="C114" s="127"/>
      <c r="E114" s="169" t="str">
        <f>AW6</f>
        <v>Тхэквондо, Восточные единоборства</v>
      </c>
      <c r="F114" s="169"/>
      <c r="G114" s="169"/>
      <c r="H114" s="169"/>
      <c r="I114" s="170"/>
    </row>
    <row r="115" spans="3:49" ht="31.2" customHeight="1" thickTop="1" thickBot="1">
      <c r="C115" s="131" t="s">
        <v>96</v>
      </c>
      <c r="D115" s="132"/>
      <c r="E115" s="133" t="s">
        <v>97</v>
      </c>
      <c r="F115" s="133"/>
      <c r="G115" s="133"/>
      <c r="H115" s="133"/>
      <c r="I115" s="134" t="s">
        <v>98</v>
      </c>
    </row>
    <row r="116" spans="3:49" ht="36" customHeight="1" thickTop="1" thickBot="1">
      <c r="C116" s="135" t="s">
        <v>99</v>
      </c>
      <c r="D116" s="136" t="s">
        <v>100</v>
      </c>
      <c r="E116" s="137"/>
      <c r="F116" s="137"/>
      <c r="G116" s="137"/>
      <c r="H116" s="138"/>
      <c r="I116" s="139">
        <f>$O$6</f>
        <v>100000</v>
      </c>
    </row>
    <row r="117" spans="3:49" ht="85.2" customHeight="1" thickTop="1" thickBot="1">
      <c r="C117" s="140" t="s">
        <v>101</v>
      </c>
      <c r="D117" s="141" t="s">
        <v>102</v>
      </c>
      <c r="E117" s="142"/>
      <c r="F117" s="142"/>
      <c r="G117" s="142"/>
      <c r="H117" s="143"/>
      <c r="I117" s="144">
        <f>$O$6</f>
        <v>100000</v>
      </c>
      <c r="AW117" s="33" t="s">
        <v>103</v>
      </c>
    </row>
    <row r="118" spans="3:49" ht="46.8" customHeight="1" thickTop="1" thickBot="1">
      <c r="C118" s="140" t="s">
        <v>104</v>
      </c>
      <c r="D118" s="141" t="s">
        <v>105</v>
      </c>
      <c r="E118" s="142"/>
      <c r="F118" s="142"/>
      <c r="G118" s="142"/>
      <c r="H118" s="143"/>
      <c r="I118" s="145">
        <f>$O$6</f>
        <v>100000</v>
      </c>
    </row>
    <row r="119" spans="3:49" ht="14.4" customHeight="1" thickTop="1">
      <c r="C119" s="146" t="s">
        <v>106</v>
      </c>
      <c r="D119" s="147"/>
      <c r="E119" s="147"/>
      <c r="F119" s="147"/>
      <c r="G119" s="147"/>
      <c r="H119" s="147"/>
      <c r="I119" s="148"/>
    </row>
    <row r="120" spans="3:49">
      <c r="C120" s="149" t="s">
        <v>107</v>
      </c>
      <c r="D120" s="150"/>
      <c r="E120" s="150"/>
      <c r="F120" s="150"/>
      <c r="G120" s="150"/>
      <c r="H120" s="150"/>
      <c r="I120" s="151"/>
    </row>
    <row r="121" spans="3:49" ht="21.6" customHeight="1">
      <c r="C121" s="149" t="s">
        <v>108</v>
      </c>
      <c r="D121" s="150"/>
      <c r="E121" s="150"/>
      <c r="F121" s="150"/>
      <c r="G121" s="150"/>
      <c r="H121" s="150"/>
      <c r="I121" s="151"/>
    </row>
    <row r="122" spans="3:49">
      <c r="C122" s="152" t="s">
        <v>109</v>
      </c>
      <c r="D122" s="153"/>
      <c r="E122" s="153"/>
      <c r="F122" s="153"/>
      <c r="G122" s="153"/>
      <c r="H122" s="153"/>
      <c r="I122" s="154"/>
    </row>
    <row r="123" spans="3:49">
      <c r="C123" s="152" t="s">
        <v>110</v>
      </c>
      <c r="D123" s="153"/>
      <c r="E123" s="153"/>
      <c r="F123" s="153"/>
      <c r="G123" s="153"/>
      <c r="H123" s="153"/>
      <c r="I123" s="154"/>
    </row>
    <row r="124" spans="3:49">
      <c r="C124" s="152" t="s">
        <v>111</v>
      </c>
      <c r="D124" s="153"/>
      <c r="E124" s="153"/>
      <c r="F124" s="153"/>
      <c r="G124" s="153"/>
      <c r="H124" s="153"/>
      <c r="I124" s="154"/>
    </row>
    <row r="125" spans="3:49">
      <c r="C125" s="149" t="s">
        <v>112</v>
      </c>
      <c r="D125" s="150"/>
      <c r="E125" s="150"/>
      <c r="F125" s="150"/>
      <c r="G125" s="150"/>
      <c r="H125" s="150"/>
      <c r="I125" s="151"/>
    </row>
    <row r="126" spans="3:49" ht="21.6" customHeight="1">
      <c r="C126" s="155" t="s">
        <v>113</v>
      </c>
      <c r="D126" s="156"/>
      <c r="E126" s="156"/>
      <c r="F126" s="156"/>
      <c r="G126" s="156"/>
      <c r="H126" s="156"/>
      <c r="I126" s="157"/>
    </row>
    <row r="127" spans="3:49">
      <c r="C127" s="158" t="s">
        <v>114</v>
      </c>
      <c r="D127" s="159"/>
      <c r="E127" s="159"/>
      <c r="F127" s="159"/>
      <c r="G127" s="159"/>
      <c r="H127" s="159"/>
      <c r="I127" s="160"/>
    </row>
    <row r="128" spans="3:49">
      <c r="C128" s="158" t="s">
        <v>115</v>
      </c>
      <c r="D128" s="159"/>
      <c r="E128" s="159"/>
      <c r="F128" s="159"/>
      <c r="G128" s="159"/>
      <c r="H128" s="159"/>
      <c r="I128" s="160"/>
    </row>
    <row r="129" spans="3:49">
      <c r="C129" s="158" t="s">
        <v>116</v>
      </c>
      <c r="D129" s="159"/>
      <c r="E129" s="159"/>
      <c r="F129" s="159"/>
      <c r="G129" s="159"/>
      <c r="H129" s="159"/>
      <c r="I129" s="160"/>
      <c r="AW129" s="161"/>
    </row>
    <row r="130" spans="3:49" s="162" customFormat="1" ht="9.6" customHeight="1">
      <c r="C130" s="163" t="s">
        <v>117</v>
      </c>
      <c r="D130" s="164"/>
      <c r="E130" s="164"/>
      <c r="F130" s="164"/>
      <c r="G130" s="164"/>
      <c r="H130" s="164"/>
      <c r="I130" s="165"/>
    </row>
    <row r="131" spans="3:49" ht="52.2" customHeight="1">
      <c r="C131" s="149" t="s">
        <v>118</v>
      </c>
      <c r="D131" s="150"/>
      <c r="E131" s="150"/>
      <c r="F131" s="150"/>
      <c r="G131" s="150"/>
      <c r="H131" s="150"/>
      <c r="I131" s="151"/>
    </row>
    <row r="132" spans="3:49" ht="22.8" customHeight="1">
      <c r="C132" s="149" t="s">
        <v>119</v>
      </c>
      <c r="D132" s="150"/>
      <c r="E132" s="150"/>
      <c r="F132" s="150"/>
      <c r="G132" s="150"/>
      <c r="H132" s="150"/>
      <c r="I132" s="151"/>
    </row>
    <row r="133" spans="3:49" ht="31.2" customHeight="1" thickBot="1">
      <c r="C133" s="166" t="s">
        <v>120</v>
      </c>
      <c r="D133" s="167"/>
      <c r="E133" s="167"/>
      <c r="F133" s="167"/>
      <c r="G133" s="167"/>
      <c r="H133" s="167"/>
      <c r="I133" s="168"/>
    </row>
    <row r="134" spans="3:49" ht="26.4" customHeight="1">
      <c r="C134" s="88" t="s">
        <v>83</v>
      </c>
      <c r="D134" s="89"/>
      <c r="E134" s="89"/>
      <c r="F134" s="89"/>
      <c r="G134" s="89"/>
      <c r="H134" s="89"/>
      <c r="I134" s="90"/>
    </row>
    <row r="135" spans="3:49" ht="17.399999999999999" customHeight="1">
      <c r="C135" s="91" t="str">
        <f>AR7</f>
        <v>SYS3061584666</v>
      </c>
      <c r="D135" s="92"/>
      <c r="E135" s="92"/>
      <c r="F135" s="92"/>
      <c r="G135" s="93" t="s">
        <v>84</v>
      </c>
      <c r="H135" s="94">
        <f>AS7</f>
        <v>46248</v>
      </c>
      <c r="I135" s="95"/>
    </row>
    <row r="136" spans="3:49" ht="28.2" customHeight="1" thickBot="1">
      <c r="C136" s="96" t="s">
        <v>85</v>
      </c>
      <c r="D136" s="97"/>
      <c r="E136" s="97"/>
      <c r="F136" s="97"/>
      <c r="G136" s="97"/>
      <c r="H136" s="97"/>
      <c r="I136" s="98"/>
    </row>
    <row r="137" spans="3:49" ht="18" customHeight="1" thickTop="1" thickBot="1">
      <c r="C137" s="99" t="s">
        <v>42</v>
      </c>
      <c r="D137" s="100"/>
      <c r="E137" s="101" t="str">
        <f>C7</f>
        <v>Дурдыев Роман Дмитриевич</v>
      </c>
      <c r="F137" s="102"/>
      <c r="G137" s="102"/>
      <c r="H137" s="102"/>
      <c r="I137" s="103"/>
    </row>
    <row r="138" spans="3:49" ht="15" thickTop="1" thickBot="1">
      <c r="C138" s="99" t="s">
        <v>86</v>
      </c>
      <c r="D138" s="100"/>
      <c r="E138" s="104">
        <f>E7</f>
        <v>41275</v>
      </c>
      <c r="F138" s="104"/>
      <c r="G138" s="104"/>
      <c r="H138" s="104"/>
      <c r="I138" s="105"/>
    </row>
    <row r="139" spans="3:49" ht="24" thickTop="1" thickBot="1">
      <c r="C139" s="106" t="s">
        <v>87</v>
      </c>
      <c r="D139" s="107" t="str">
        <f>G7</f>
        <v>V-АГ</v>
      </c>
      <c r="E139" s="108"/>
      <c r="F139" s="109">
        <f>H7</f>
        <v>678472</v>
      </c>
      <c r="G139" s="110"/>
      <c r="H139" s="110"/>
      <c r="I139" s="111"/>
    </row>
    <row r="140" spans="3:49" ht="22.8" customHeight="1" thickTop="1" thickBot="1">
      <c r="C140" s="112" t="s">
        <v>88</v>
      </c>
      <c r="D140" s="113"/>
      <c r="E140" s="113"/>
      <c r="F140" s="113"/>
      <c r="G140" s="113"/>
      <c r="H140" s="113"/>
      <c r="I140" s="114"/>
    </row>
    <row r="141" spans="3:49" ht="15" customHeight="1" thickTop="1" thickBot="1">
      <c r="C141" s="115" t="s">
        <v>89</v>
      </c>
      <c r="D141" s="116">
        <f>AT7</f>
        <v>46249</v>
      </c>
      <c r="E141" s="117"/>
      <c r="F141" s="118" t="s">
        <v>64</v>
      </c>
      <c r="G141" s="119">
        <f>AU7</f>
        <v>46613</v>
      </c>
      <c r="H141" s="119"/>
    </row>
    <row r="142" spans="3:49" ht="54" customHeight="1" thickTop="1" thickBot="1">
      <c r="C142" s="99" t="s">
        <v>90</v>
      </c>
      <c r="D142" s="120" t="s">
        <v>91</v>
      </c>
      <c r="E142" s="120"/>
      <c r="F142" s="120"/>
      <c r="G142" s="120"/>
      <c r="H142" s="120"/>
      <c r="I142" s="121"/>
    </row>
    <row r="143" spans="3:49" ht="24" customHeight="1" thickTop="1" thickBot="1">
      <c r="C143" s="106" t="s">
        <v>92</v>
      </c>
      <c r="D143" s="122" t="s">
        <v>93</v>
      </c>
      <c r="E143" s="122"/>
      <c r="F143" s="122"/>
      <c r="G143" s="122"/>
      <c r="H143" s="122"/>
      <c r="I143" s="123"/>
    </row>
    <row r="144" spans="3:49" ht="31.2" customHeight="1" thickTop="1">
      <c r="C144" s="124" t="s">
        <v>94</v>
      </c>
      <c r="D144" s="125" t="s">
        <v>95</v>
      </c>
      <c r="E144" s="125"/>
      <c r="F144" s="125"/>
      <c r="G144" s="125"/>
      <c r="H144" s="125"/>
      <c r="I144" s="126"/>
    </row>
    <row r="145" spans="3:49" ht="27" customHeight="1" thickBot="1">
      <c r="C145" s="127"/>
      <c r="E145" s="169" t="str">
        <f>AW7</f>
        <v>Тхэквондо, Восточные единоборства</v>
      </c>
      <c r="F145" s="169"/>
      <c r="G145" s="169"/>
      <c r="H145" s="169"/>
      <c r="I145" s="170"/>
    </row>
    <row r="146" spans="3:49" ht="31.2" customHeight="1" thickTop="1" thickBot="1">
      <c r="C146" s="131" t="s">
        <v>96</v>
      </c>
      <c r="D146" s="132"/>
      <c r="E146" s="133" t="s">
        <v>97</v>
      </c>
      <c r="F146" s="133"/>
      <c r="G146" s="133"/>
      <c r="H146" s="133"/>
      <c r="I146" s="134" t="s">
        <v>98</v>
      </c>
    </row>
    <row r="147" spans="3:49" ht="36" customHeight="1" thickTop="1" thickBot="1">
      <c r="C147" s="135" t="s">
        <v>99</v>
      </c>
      <c r="D147" s="136" t="s">
        <v>100</v>
      </c>
      <c r="E147" s="137"/>
      <c r="F147" s="137"/>
      <c r="G147" s="137"/>
      <c r="H147" s="138"/>
      <c r="I147" s="139">
        <f>$O$7</f>
        <v>100000</v>
      </c>
    </row>
    <row r="148" spans="3:49" ht="85.2" customHeight="1" thickTop="1" thickBot="1">
      <c r="C148" s="140" t="s">
        <v>101</v>
      </c>
      <c r="D148" s="141" t="s">
        <v>102</v>
      </c>
      <c r="E148" s="142"/>
      <c r="F148" s="142"/>
      <c r="G148" s="142"/>
      <c r="H148" s="143"/>
      <c r="I148" s="144">
        <f>$O$7</f>
        <v>100000</v>
      </c>
      <c r="AW148" s="33" t="s">
        <v>103</v>
      </c>
    </row>
    <row r="149" spans="3:49" ht="46.8" customHeight="1" thickTop="1" thickBot="1">
      <c r="C149" s="140" t="s">
        <v>104</v>
      </c>
      <c r="D149" s="141" t="s">
        <v>105</v>
      </c>
      <c r="E149" s="142"/>
      <c r="F149" s="142"/>
      <c r="G149" s="142"/>
      <c r="H149" s="143"/>
      <c r="I149" s="145">
        <f>$O$7</f>
        <v>100000</v>
      </c>
    </row>
    <row r="150" spans="3:49" ht="14.4" customHeight="1" thickTop="1">
      <c r="C150" s="146" t="s">
        <v>106</v>
      </c>
      <c r="D150" s="147"/>
      <c r="E150" s="147"/>
      <c r="F150" s="147"/>
      <c r="G150" s="147"/>
      <c r="H150" s="147"/>
      <c r="I150" s="148"/>
    </row>
    <row r="151" spans="3:49">
      <c r="C151" s="149" t="s">
        <v>107</v>
      </c>
      <c r="D151" s="150"/>
      <c r="E151" s="150"/>
      <c r="F151" s="150"/>
      <c r="G151" s="150"/>
      <c r="H151" s="150"/>
      <c r="I151" s="151"/>
    </row>
    <row r="152" spans="3:49" ht="21.6" customHeight="1">
      <c r="C152" s="149" t="s">
        <v>108</v>
      </c>
      <c r="D152" s="150"/>
      <c r="E152" s="150"/>
      <c r="F152" s="150"/>
      <c r="G152" s="150"/>
      <c r="H152" s="150"/>
      <c r="I152" s="151"/>
    </row>
    <row r="153" spans="3:49">
      <c r="C153" s="152" t="s">
        <v>109</v>
      </c>
      <c r="D153" s="153"/>
      <c r="E153" s="153"/>
      <c r="F153" s="153"/>
      <c r="G153" s="153"/>
      <c r="H153" s="153"/>
      <c r="I153" s="154"/>
    </row>
    <row r="154" spans="3:49">
      <c r="C154" s="152" t="s">
        <v>110</v>
      </c>
      <c r="D154" s="153"/>
      <c r="E154" s="153"/>
      <c r="F154" s="153"/>
      <c r="G154" s="153"/>
      <c r="H154" s="153"/>
      <c r="I154" s="154"/>
    </row>
    <row r="155" spans="3:49">
      <c r="C155" s="152" t="s">
        <v>111</v>
      </c>
      <c r="D155" s="153"/>
      <c r="E155" s="153"/>
      <c r="F155" s="153"/>
      <c r="G155" s="153"/>
      <c r="H155" s="153"/>
      <c r="I155" s="154"/>
    </row>
    <row r="156" spans="3:49">
      <c r="C156" s="149" t="s">
        <v>112</v>
      </c>
      <c r="D156" s="150"/>
      <c r="E156" s="150"/>
      <c r="F156" s="150"/>
      <c r="G156" s="150"/>
      <c r="H156" s="150"/>
      <c r="I156" s="151"/>
    </row>
    <row r="157" spans="3:49" ht="21.6" customHeight="1">
      <c r="C157" s="155" t="s">
        <v>113</v>
      </c>
      <c r="D157" s="156"/>
      <c r="E157" s="156"/>
      <c r="F157" s="156"/>
      <c r="G157" s="156"/>
      <c r="H157" s="156"/>
      <c r="I157" s="157"/>
    </row>
    <row r="158" spans="3:49">
      <c r="C158" s="158" t="s">
        <v>114</v>
      </c>
      <c r="D158" s="159"/>
      <c r="E158" s="159"/>
      <c r="F158" s="159"/>
      <c r="G158" s="159"/>
      <c r="H158" s="159"/>
      <c r="I158" s="160"/>
    </row>
    <row r="159" spans="3:49">
      <c r="C159" s="158" t="s">
        <v>115</v>
      </c>
      <c r="D159" s="159"/>
      <c r="E159" s="159"/>
      <c r="F159" s="159"/>
      <c r="G159" s="159"/>
      <c r="H159" s="159"/>
      <c r="I159" s="160"/>
    </row>
    <row r="160" spans="3:49">
      <c r="C160" s="158" t="s">
        <v>116</v>
      </c>
      <c r="D160" s="159"/>
      <c r="E160" s="159"/>
      <c r="F160" s="159"/>
      <c r="G160" s="159"/>
      <c r="H160" s="159"/>
      <c r="I160" s="160"/>
      <c r="AW160" s="161"/>
    </row>
    <row r="161" spans="3:9" s="162" customFormat="1" ht="9.6" customHeight="1">
      <c r="C161" s="163" t="s">
        <v>117</v>
      </c>
      <c r="D161" s="164"/>
      <c r="E161" s="164"/>
      <c r="F161" s="164"/>
      <c r="G161" s="164"/>
      <c r="H161" s="164"/>
      <c r="I161" s="165"/>
    </row>
    <row r="162" spans="3:9" ht="52.2" customHeight="1">
      <c r="C162" s="149" t="s">
        <v>118</v>
      </c>
      <c r="D162" s="150"/>
      <c r="E162" s="150"/>
      <c r="F162" s="150"/>
      <c r="G162" s="150"/>
      <c r="H162" s="150"/>
      <c r="I162" s="151"/>
    </row>
    <row r="163" spans="3:9" ht="22.8" customHeight="1">
      <c r="C163" s="149" t="s">
        <v>119</v>
      </c>
      <c r="D163" s="150"/>
      <c r="E163" s="150"/>
      <c r="F163" s="150"/>
      <c r="G163" s="150"/>
      <c r="H163" s="150"/>
      <c r="I163" s="151"/>
    </row>
    <row r="164" spans="3:9" ht="31.2" customHeight="1" thickBot="1">
      <c r="C164" s="166" t="s">
        <v>120</v>
      </c>
      <c r="D164" s="167"/>
      <c r="E164" s="167"/>
      <c r="F164" s="167"/>
      <c r="G164" s="167"/>
      <c r="H164" s="167"/>
      <c r="I164" s="168"/>
    </row>
  </sheetData>
  <mergeCells count="200">
    <mergeCell ref="C160:I160"/>
    <mergeCell ref="C161:I161"/>
    <mergeCell ref="C162:I162"/>
    <mergeCell ref="C163:I163"/>
    <mergeCell ref="C164:I164"/>
    <mergeCell ref="AS19:AY19"/>
    <mergeCell ref="AR20:AR21"/>
    <mergeCell ref="AS20:AY20"/>
    <mergeCell ref="AS21:AY21"/>
    <mergeCell ref="C154:I154"/>
    <mergeCell ref="C155:I155"/>
    <mergeCell ref="C156:I156"/>
    <mergeCell ref="C157:I157"/>
    <mergeCell ref="C158:I158"/>
    <mergeCell ref="C159:I159"/>
    <mergeCell ref="D148:H148"/>
    <mergeCell ref="D149:H149"/>
    <mergeCell ref="C150:I150"/>
    <mergeCell ref="C151:I151"/>
    <mergeCell ref="C152:I152"/>
    <mergeCell ref="C153:I153"/>
    <mergeCell ref="D143:I143"/>
    <mergeCell ref="C144:C145"/>
    <mergeCell ref="D144:I144"/>
    <mergeCell ref="E145:I145"/>
    <mergeCell ref="E146:H146"/>
    <mergeCell ref="D147:H147"/>
    <mergeCell ref="D139:E139"/>
    <mergeCell ref="F139:I139"/>
    <mergeCell ref="C140:I140"/>
    <mergeCell ref="D141:E141"/>
    <mergeCell ref="G141:H141"/>
    <mergeCell ref="D142:I142"/>
    <mergeCell ref="C133:I133"/>
    <mergeCell ref="C134:I134"/>
    <mergeCell ref="C135:F135"/>
    <mergeCell ref="C136:I136"/>
    <mergeCell ref="E137:I137"/>
    <mergeCell ref="E138:I138"/>
    <mergeCell ref="C127:I127"/>
    <mergeCell ref="C128:I128"/>
    <mergeCell ref="C129:I129"/>
    <mergeCell ref="C130:I130"/>
    <mergeCell ref="C131:I131"/>
    <mergeCell ref="C132:I132"/>
    <mergeCell ref="C121:I121"/>
    <mergeCell ref="C122:I122"/>
    <mergeCell ref="C123:I123"/>
    <mergeCell ref="C124:I124"/>
    <mergeCell ref="C125:I125"/>
    <mergeCell ref="C126:I126"/>
    <mergeCell ref="E115:H115"/>
    <mergeCell ref="D116:H116"/>
    <mergeCell ref="D117:H117"/>
    <mergeCell ref="D118:H118"/>
    <mergeCell ref="C119:I119"/>
    <mergeCell ref="C120:I120"/>
    <mergeCell ref="C109:I109"/>
    <mergeCell ref="D110:E110"/>
    <mergeCell ref="G110:H110"/>
    <mergeCell ref="D111:I111"/>
    <mergeCell ref="D112:I112"/>
    <mergeCell ref="C113:C114"/>
    <mergeCell ref="D113:I113"/>
    <mergeCell ref="E114:I114"/>
    <mergeCell ref="C104:F104"/>
    <mergeCell ref="C105:I105"/>
    <mergeCell ref="E106:I106"/>
    <mergeCell ref="E107:I107"/>
    <mergeCell ref="D108:E108"/>
    <mergeCell ref="F108:I108"/>
    <mergeCell ref="C98:I98"/>
    <mergeCell ref="C99:I99"/>
    <mergeCell ref="C100:I100"/>
    <mergeCell ref="C101:I101"/>
    <mergeCell ref="C102:I102"/>
    <mergeCell ref="C103:I103"/>
    <mergeCell ref="C92:I92"/>
    <mergeCell ref="C93:I93"/>
    <mergeCell ref="C94:I94"/>
    <mergeCell ref="C95:I95"/>
    <mergeCell ref="C96:I96"/>
    <mergeCell ref="C97:I97"/>
    <mergeCell ref="D86:H86"/>
    <mergeCell ref="D87:H87"/>
    <mergeCell ref="C88:I88"/>
    <mergeCell ref="C89:I89"/>
    <mergeCell ref="C90:I90"/>
    <mergeCell ref="C91:I91"/>
    <mergeCell ref="D81:I81"/>
    <mergeCell ref="C82:C83"/>
    <mergeCell ref="D82:I82"/>
    <mergeCell ref="E83:I83"/>
    <mergeCell ref="E84:H84"/>
    <mergeCell ref="D85:H85"/>
    <mergeCell ref="D77:E77"/>
    <mergeCell ref="F77:I77"/>
    <mergeCell ref="C78:I78"/>
    <mergeCell ref="D79:E79"/>
    <mergeCell ref="G79:H79"/>
    <mergeCell ref="D80:I80"/>
    <mergeCell ref="C71:I71"/>
    <mergeCell ref="C72:I72"/>
    <mergeCell ref="C73:F73"/>
    <mergeCell ref="C74:I74"/>
    <mergeCell ref="E75:I75"/>
    <mergeCell ref="E76:I76"/>
    <mergeCell ref="C65:I65"/>
    <mergeCell ref="C66:I66"/>
    <mergeCell ref="C67:I67"/>
    <mergeCell ref="C68:I68"/>
    <mergeCell ref="C69:I69"/>
    <mergeCell ref="C70:I70"/>
    <mergeCell ref="C59:I59"/>
    <mergeCell ref="C60:I60"/>
    <mergeCell ref="C61:I61"/>
    <mergeCell ref="C62:I62"/>
    <mergeCell ref="C63:I63"/>
    <mergeCell ref="C64:I64"/>
    <mergeCell ref="E53:H53"/>
    <mergeCell ref="D54:H54"/>
    <mergeCell ref="D55:H55"/>
    <mergeCell ref="D56:H56"/>
    <mergeCell ref="C57:I57"/>
    <mergeCell ref="C58:I58"/>
    <mergeCell ref="C47:I47"/>
    <mergeCell ref="D48:E48"/>
    <mergeCell ref="G48:H48"/>
    <mergeCell ref="D49:I49"/>
    <mergeCell ref="D50:I50"/>
    <mergeCell ref="C51:C52"/>
    <mergeCell ref="D51:I51"/>
    <mergeCell ref="E52:I52"/>
    <mergeCell ref="C41:I41"/>
    <mergeCell ref="C42:F42"/>
    <mergeCell ref="C43:I43"/>
    <mergeCell ref="E44:I44"/>
    <mergeCell ref="E45:I45"/>
    <mergeCell ref="D46:E46"/>
    <mergeCell ref="F46:I46"/>
    <mergeCell ref="C35:I35"/>
    <mergeCell ref="C36:I36"/>
    <mergeCell ref="C37:I37"/>
    <mergeCell ref="C38:I38"/>
    <mergeCell ref="C39:I39"/>
    <mergeCell ref="C40:I40"/>
    <mergeCell ref="C29:I29"/>
    <mergeCell ref="C30:I30"/>
    <mergeCell ref="C31:I31"/>
    <mergeCell ref="C32:I32"/>
    <mergeCell ref="C33:I33"/>
    <mergeCell ref="C34:I34"/>
    <mergeCell ref="D23:H23"/>
    <mergeCell ref="D24:H24"/>
    <mergeCell ref="D25:H25"/>
    <mergeCell ref="C26:I26"/>
    <mergeCell ref="C27:I27"/>
    <mergeCell ref="C28:I28"/>
    <mergeCell ref="D18:I18"/>
    <mergeCell ref="D19:I19"/>
    <mergeCell ref="C20:C21"/>
    <mergeCell ref="D20:I20"/>
    <mergeCell ref="E21:I21"/>
    <mergeCell ref="E22:H22"/>
    <mergeCell ref="E14:I14"/>
    <mergeCell ref="D15:E15"/>
    <mergeCell ref="F15:I15"/>
    <mergeCell ref="C16:I16"/>
    <mergeCell ref="D17:E17"/>
    <mergeCell ref="G17:H17"/>
    <mergeCell ref="AY1:AY2"/>
    <mergeCell ref="AZ1:BB1"/>
    <mergeCell ref="C10:I10"/>
    <mergeCell ref="C11:F11"/>
    <mergeCell ref="C12:I12"/>
    <mergeCell ref="E13:I13"/>
    <mergeCell ref="AQ1:AQ2"/>
    <mergeCell ref="AR1:AR2"/>
    <mergeCell ref="AS1:AU1"/>
    <mergeCell ref="AV1:AV2"/>
    <mergeCell ref="AW1:AW2"/>
    <mergeCell ref="AX1:AX2"/>
    <mergeCell ref="N1:N2"/>
    <mergeCell ref="O1:O2"/>
    <mergeCell ref="P1:P2"/>
    <mergeCell ref="R1:R2"/>
    <mergeCell ref="AC1:AO2"/>
    <mergeCell ref="AP1:AP2"/>
    <mergeCell ref="G1:H1"/>
    <mergeCell ref="I1:I2"/>
    <mergeCell ref="J1:J2"/>
    <mergeCell ref="K1:K2"/>
    <mergeCell ref="L1:L2"/>
    <mergeCell ref="M1:M2"/>
    <mergeCell ref="A1:A2"/>
    <mergeCell ref="B1:B2"/>
    <mergeCell ref="C1:C2"/>
    <mergeCell ref="D1:D2"/>
    <mergeCell ref="E1:E2"/>
    <mergeCell ref="F1:F2"/>
  </mergeCells>
  <dataValidations count="3">
    <dataValidation type="list" allowBlank="1" showErrorMessage="1" sqref="AC1 JY1 TU1 ADQ1 ANM1 AXI1 BHE1 BRA1 CAW1 CKS1 CUO1 DEK1 DOG1 DYC1 EHY1 ERU1 FBQ1 FLM1 FVI1 GFE1 GPA1 GYW1 HIS1 HSO1 ICK1 IMG1 IWC1 JFY1 JPU1 JZQ1 KJM1 KTI1 LDE1 LNA1 LWW1 MGS1 MQO1 NAK1 NKG1 NUC1 ODY1 ONU1 OXQ1 PHM1 PRI1 QBE1 QLA1 QUW1 RES1 ROO1 RYK1 SIG1 SSC1 TBY1 TLU1 TVQ1 UFM1 UPI1 UZE1 VJA1 VSW1 WCS1 WMO1 WWK1 AC65537 JY65537 TU65537 ADQ65537 ANM65537 AXI65537 BHE65537 BRA65537 CAW65537 CKS65537 CUO65537 DEK65537 DOG65537 DYC65537 EHY65537 ERU65537 FBQ65537 FLM65537 FVI65537 GFE65537 GPA65537 GYW65537 HIS65537 HSO65537 ICK65537 IMG65537 IWC65537 JFY65537 JPU65537 JZQ65537 KJM65537 KTI65537 LDE65537 LNA65537 LWW65537 MGS65537 MQO65537 NAK65537 NKG65537 NUC65537 ODY65537 ONU65537 OXQ65537 PHM65537 PRI65537 QBE65537 QLA65537 QUW65537 RES65537 ROO65537 RYK65537 SIG65537 SSC65537 TBY65537 TLU65537 TVQ65537 UFM65537 UPI65537 UZE65537 VJA65537 VSW65537 WCS65537 WMO65537 WWK65537 AC131073 JY131073 TU131073 ADQ131073 ANM131073 AXI131073 BHE131073 BRA131073 CAW131073 CKS131073 CUO131073 DEK131073 DOG131073 DYC131073 EHY131073 ERU131073 FBQ131073 FLM131073 FVI131073 GFE131073 GPA131073 GYW131073 HIS131073 HSO131073 ICK131073 IMG131073 IWC131073 JFY131073 JPU131073 JZQ131073 KJM131073 KTI131073 LDE131073 LNA131073 LWW131073 MGS131073 MQO131073 NAK131073 NKG131073 NUC131073 ODY131073 ONU131073 OXQ131073 PHM131073 PRI131073 QBE131073 QLA131073 QUW131073 RES131073 ROO131073 RYK131073 SIG131073 SSC131073 TBY131073 TLU131073 TVQ131073 UFM131073 UPI131073 UZE131073 VJA131073 VSW131073 WCS131073 WMO131073 WWK131073 AC196609 JY196609 TU196609 ADQ196609 ANM196609 AXI196609 BHE196609 BRA196609 CAW196609 CKS196609 CUO196609 DEK196609 DOG196609 DYC196609 EHY196609 ERU196609 FBQ196609 FLM196609 FVI196609 GFE196609 GPA196609 GYW196609 HIS196609 HSO196609 ICK196609 IMG196609 IWC196609 JFY196609 JPU196609 JZQ196609 KJM196609 KTI196609 LDE196609 LNA196609 LWW196609 MGS196609 MQO196609 NAK196609 NKG196609 NUC196609 ODY196609 ONU196609 OXQ196609 PHM196609 PRI196609 QBE196609 QLA196609 QUW196609 RES196609 ROO196609 RYK196609 SIG196609 SSC196609 TBY196609 TLU196609 TVQ196609 UFM196609 UPI196609 UZE196609 VJA196609 VSW196609 WCS196609 WMO196609 WWK196609 AC262145 JY262145 TU262145 ADQ262145 ANM262145 AXI262145 BHE262145 BRA262145 CAW262145 CKS262145 CUO262145 DEK262145 DOG262145 DYC262145 EHY262145 ERU262145 FBQ262145 FLM262145 FVI262145 GFE262145 GPA262145 GYW262145 HIS262145 HSO262145 ICK262145 IMG262145 IWC262145 JFY262145 JPU262145 JZQ262145 KJM262145 KTI262145 LDE262145 LNA262145 LWW262145 MGS262145 MQO262145 NAK262145 NKG262145 NUC262145 ODY262145 ONU262145 OXQ262145 PHM262145 PRI262145 QBE262145 QLA262145 QUW262145 RES262145 ROO262145 RYK262145 SIG262145 SSC262145 TBY262145 TLU262145 TVQ262145 UFM262145 UPI262145 UZE262145 VJA262145 VSW262145 WCS262145 WMO262145 WWK262145 AC327681 JY327681 TU327681 ADQ327681 ANM327681 AXI327681 BHE327681 BRA327681 CAW327681 CKS327681 CUO327681 DEK327681 DOG327681 DYC327681 EHY327681 ERU327681 FBQ327681 FLM327681 FVI327681 GFE327681 GPA327681 GYW327681 HIS327681 HSO327681 ICK327681 IMG327681 IWC327681 JFY327681 JPU327681 JZQ327681 KJM327681 KTI327681 LDE327681 LNA327681 LWW327681 MGS327681 MQO327681 NAK327681 NKG327681 NUC327681 ODY327681 ONU327681 OXQ327681 PHM327681 PRI327681 QBE327681 QLA327681 QUW327681 RES327681 ROO327681 RYK327681 SIG327681 SSC327681 TBY327681 TLU327681 TVQ327681 UFM327681 UPI327681 UZE327681 VJA327681 VSW327681 WCS327681 WMO327681 WWK327681 AC393217 JY393217 TU393217 ADQ393217 ANM393217 AXI393217 BHE393217 BRA393217 CAW393217 CKS393217 CUO393217 DEK393217 DOG393217 DYC393217 EHY393217 ERU393217 FBQ393217 FLM393217 FVI393217 GFE393217 GPA393217 GYW393217 HIS393217 HSO393217 ICK393217 IMG393217 IWC393217 JFY393217 JPU393217 JZQ393217 KJM393217 KTI393217 LDE393217 LNA393217 LWW393217 MGS393217 MQO393217 NAK393217 NKG393217 NUC393217 ODY393217 ONU393217 OXQ393217 PHM393217 PRI393217 QBE393217 QLA393217 QUW393217 RES393217 ROO393217 RYK393217 SIG393217 SSC393217 TBY393217 TLU393217 TVQ393217 UFM393217 UPI393217 UZE393217 VJA393217 VSW393217 WCS393217 WMO393217 WWK393217 AC458753 JY458753 TU458753 ADQ458753 ANM458753 AXI458753 BHE458753 BRA458753 CAW458753 CKS458753 CUO458753 DEK458753 DOG458753 DYC458753 EHY458753 ERU458753 FBQ458753 FLM458753 FVI458753 GFE458753 GPA458753 GYW458753 HIS458753 HSO458753 ICK458753 IMG458753 IWC458753 JFY458753 JPU458753 JZQ458753 KJM458753 KTI458753 LDE458753 LNA458753 LWW458753 MGS458753 MQO458753 NAK458753 NKG458753 NUC458753 ODY458753 ONU458753 OXQ458753 PHM458753 PRI458753 QBE458753 QLA458753 QUW458753 RES458753 ROO458753 RYK458753 SIG458753 SSC458753 TBY458753 TLU458753 TVQ458753 UFM458753 UPI458753 UZE458753 VJA458753 VSW458753 WCS458753 WMO458753 WWK458753 AC524289 JY524289 TU524289 ADQ524289 ANM524289 AXI524289 BHE524289 BRA524289 CAW524289 CKS524289 CUO524289 DEK524289 DOG524289 DYC524289 EHY524289 ERU524289 FBQ524289 FLM524289 FVI524289 GFE524289 GPA524289 GYW524289 HIS524289 HSO524289 ICK524289 IMG524289 IWC524289 JFY524289 JPU524289 JZQ524289 KJM524289 KTI524289 LDE524289 LNA524289 LWW524289 MGS524289 MQO524289 NAK524289 NKG524289 NUC524289 ODY524289 ONU524289 OXQ524289 PHM524289 PRI524289 QBE524289 QLA524289 QUW524289 RES524289 ROO524289 RYK524289 SIG524289 SSC524289 TBY524289 TLU524289 TVQ524289 UFM524289 UPI524289 UZE524289 VJA524289 VSW524289 WCS524289 WMO524289 WWK524289 AC589825 JY589825 TU589825 ADQ589825 ANM589825 AXI589825 BHE589825 BRA589825 CAW589825 CKS589825 CUO589825 DEK589825 DOG589825 DYC589825 EHY589825 ERU589825 FBQ589825 FLM589825 FVI589825 GFE589825 GPA589825 GYW589825 HIS589825 HSO589825 ICK589825 IMG589825 IWC589825 JFY589825 JPU589825 JZQ589825 KJM589825 KTI589825 LDE589825 LNA589825 LWW589825 MGS589825 MQO589825 NAK589825 NKG589825 NUC589825 ODY589825 ONU589825 OXQ589825 PHM589825 PRI589825 QBE589825 QLA589825 QUW589825 RES589825 ROO589825 RYK589825 SIG589825 SSC589825 TBY589825 TLU589825 TVQ589825 UFM589825 UPI589825 UZE589825 VJA589825 VSW589825 WCS589825 WMO589825 WWK589825 AC655361 JY655361 TU655361 ADQ655361 ANM655361 AXI655361 BHE655361 BRA655361 CAW655361 CKS655361 CUO655361 DEK655361 DOG655361 DYC655361 EHY655361 ERU655361 FBQ655361 FLM655361 FVI655361 GFE655361 GPA655361 GYW655361 HIS655361 HSO655361 ICK655361 IMG655361 IWC655361 JFY655361 JPU655361 JZQ655361 KJM655361 KTI655361 LDE655361 LNA655361 LWW655361 MGS655361 MQO655361 NAK655361 NKG655361 NUC655361 ODY655361 ONU655361 OXQ655361 PHM655361 PRI655361 QBE655361 QLA655361 QUW655361 RES655361 ROO655361 RYK655361 SIG655361 SSC655361 TBY655361 TLU655361 TVQ655361 UFM655361 UPI655361 UZE655361 VJA655361 VSW655361 WCS655361 WMO655361 WWK655361 AC720897 JY720897 TU720897 ADQ720897 ANM720897 AXI720897 BHE720897 BRA720897 CAW720897 CKS720897 CUO720897 DEK720897 DOG720897 DYC720897 EHY720897 ERU720897 FBQ720897 FLM720897 FVI720897 GFE720897 GPA720897 GYW720897 HIS720897 HSO720897 ICK720897 IMG720897 IWC720897 JFY720897 JPU720897 JZQ720897 KJM720897 KTI720897 LDE720897 LNA720897 LWW720897 MGS720897 MQO720897 NAK720897 NKG720897 NUC720897 ODY720897 ONU720897 OXQ720897 PHM720897 PRI720897 QBE720897 QLA720897 QUW720897 RES720897 ROO720897 RYK720897 SIG720897 SSC720897 TBY720897 TLU720897 TVQ720897 UFM720897 UPI720897 UZE720897 VJA720897 VSW720897 WCS720897 WMO720897 WWK720897 AC786433 JY786433 TU786433 ADQ786433 ANM786433 AXI786433 BHE786433 BRA786433 CAW786433 CKS786433 CUO786433 DEK786433 DOG786433 DYC786433 EHY786433 ERU786433 FBQ786433 FLM786433 FVI786433 GFE786433 GPA786433 GYW786433 HIS786433 HSO786433 ICK786433 IMG786433 IWC786433 JFY786433 JPU786433 JZQ786433 KJM786433 KTI786433 LDE786433 LNA786433 LWW786433 MGS786433 MQO786433 NAK786433 NKG786433 NUC786433 ODY786433 ONU786433 OXQ786433 PHM786433 PRI786433 QBE786433 QLA786433 QUW786433 RES786433 ROO786433 RYK786433 SIG786433 SSC786433 TBY786433 TLU786433 TVQ786433 UFM786433 UPI786433 UZE786433 VJA786433 VSW786433 WCS786433 WMO786433 WWK786433 AC851969 JY851969 TU851969 ADQ851969 ANM851969 AXI851969 BHE851969 BRA851969 CAW851969 CKS851969 CUO851969 DEK851969 DOG851969 DYC851969 EHY851969 ERU851969 FBQ851969 FLM851969 FVI851969 GFE851969 GPA851969 GYW851969 HIS851969 HSO851969 ICK851969 IMG851969 IWC851969 JFY851969 JPU851969 JZQ851969 KJM851969 KTI851969 LDE851969 LNA851969 LWW851969 MGS851969 MQO851969 NAK851969 NKG851969 NUC851969 ODY851969 ONU851969 OXQ851969 PHM851969 PRI851969 QBE851969 QLA851969 QUW851969 RES851969 ROO851969 RYK851969 SIG851969 SSC851969 TBY851969 TLU851969 TVQ851969 UFM851969 UPI851969 UZE851969 VJA851969 VSW851969 WCS851969 WMO851969 WWK851969 AC917505 JY917505 TU917505 ADQ917505 ANM917505 AXI917505 BHE917505 BRA917505 CAW917505 CKS917505 CUO917505 DEK917505 DOG917505 DYC917505 EHY917505 ERU917505 FBQ917505 FLM917505 FVI917505 GFE917505 GPA917505 GYW917505 HIS917505 HSO917505 ICK917505 IMG917505 IWC917505 JFY917505 JPU917505 JZQ917505 KJM917505 KTI917505 LDE917505 LNA917505 LWW917505 MGS917505 MQO917505 NAK917505 NKG917505 NUC917505 ODY917505 ONU917505 OXQ917505 PHM917505 PRI917505 QBE917505 QLA917505 QUW917505 RES917505 ROO917505 RYK917505 SIG917505 SSC917505 TBY917505 TLU917505 TVQ917505 UFM917505 UPI917505 UZE917505 VJA917505 VSW917505 WCS917505 WMO917505 WWK917505 AC983041 JY983041 TU983041 ADQ983041 ANM983041 AXI983041 BHE983041 BRA983041 CAW983041 CKS983041 CUO983041 DEK983041 DOG983041 DYC983041 EHY983041 ERU983041 FBQ983041 FLM983041 FVI983041 GFE983041 GPA983041 GYW983041 HIS983041 HSO983041 ICK983041 IMG983041 IWC983041 JFY983041 JPU983041 JZQ983041 KJM983041 KTI983041 LDE983041 LNA983041 LWW983041 MGS983041 MQO983041 NAK983041 NKG983041 NUC983041 ODY983041 ONU983041 OXQ983041 PHM983041 PRI983041 QBE983041 QLA983041 QUW983041 RES983041 ROO983041 RYK983041 SIG983041 SSC983041 TBY983041 TLU983041 TVQ983041 UFM983041 UPI983041 UZE983041 VJA983041 VSW983041 WCS983041 WMO983041 WWK983041 AC3:AC7 JY3:JY7 TU3:TU7 ADQ3:ADQ7 ANM3:ANM7 AXI3:AXI7 BHE3:BHE7 BRA3:BRA7 CAW3:CAW7 CKS3:CKS7 CUO3:CUO7 DEK3:DEK7 DOG3:DOG7 DYC3:DYC7 EHY3:EHY7 ERU3:ERU7 FBQ3:FBQ7 FLM3:FLM7 FVI3:FVI7 GFE3:GFE7 GPA3:GPA7 GYW3:GYW7 HIS3:HIS7 HSO3:HSO7 ICK3:ICK7 IMG3:IMG7 IWC3:IWC7 JFY3:JFY7 JPU3:JPU7 JZQ3:JZQ7 KJM3:KJM7 KTI3:KTI7 LDE3:LDE7 LNA3:LNA7 LWW3:LWW7 MGS3:MGS7 MQO3:MQO7 NAK3:NAK7 NKG3:NKG7 NUC3:NUC7 ODY3:ODY7 ONU3:ONU7 OXQ3:OXQ7 PHM3:PHM7 PRI3:PRI7 QBE3:QBE7 QLA3:QLA7 QUW3:QUW7 RES3:RES7 ROO3:ROO7 RYK3:RYK7 SIG3:SIG7 SSC3:SSC7 TBY3:TBY7 TLU3:TLU7 TVQ3:TVQ7 UFM3:UFM7 UPI3:UPI7 UZE3:UZE7 VJA3:VJA7 VSW3:VSW7 WCS3:WCS7 WMO3:WMO7 WWK3:WWK7 AC65539:AC65543 JY65539:JY65543 TU65539:TU65543 ADQ65539:ADQ65543 ANM65539:ANM65543 AXI65539:AXI65543 BHE65539:BHE65543 BRA65539:BRA65543 CAW65539:CAW65543 CKS65539:CKS65543 CUO65539:CUO65543 DEK65539:DEK65543 DOG65539:DOG65543 DYC65539:DYC65543 EHY65539:EHY65543 ERU65539:ERU65543 FBQ65539:FBQ65543 FLM65539:FLM65543 FVI65539:FVI65543 GFE65539:GFE65543 GPA65539:GPA65543 GYW65539:GYW65543 HIS65539:HIS65543 HSO65539:HSO65543 ICK65539:ICK65543 IMG65539:IMG65543 IWC65539:IWC65543 JFY65539:JFY65543 JPU65539:JPU65543 JZQ65539:JZQ65543 KJM65539:KJM65543 KTI65539:KTI65543 LDE65539:LDE65543 LNA65539:LNA65543 LWW65539:LWW65543 MGS65539:MGS65543 MQO65539:MQO65543 NAK65539:NAK65543 NKG65539:NKG65543 NUC65539:NUC65543 ODY65539:ODY65543 ONU65539:ONU65543 OXQ65539:OXQ65543 PHM65539:PHM65543 PRI65539:PRI65543 QBE65539:QBE65543 QLA65539:QLA65543 QUW65539:QUW65543 RES65539:RES65543 ROO65539:ROO65543 RYK65539:RYK65543 SIG65539:SIG65543 SSC65539:SSC65543 TBY65539:TBY65543 TLU65539:TLU65543 TVQ65539:TVQ65543 UFM65539:UFM65543 UPI65539:UPI65543 UZE65539:UZE65543 VJA65539:VJA65543 VSW65539:VSW65543 WCS65539:WCS65543 WMO65539:WMO65543 WWK65539:WWK65543 AC131075:AC131079 JY131075:JY131079 TU131075:TU131079 ADQ131075:ADQ131079 ANM131075:ANM131079 AXI131075:AXI131079 BHE131075:BHE131079 BRA131075:BRA131079 CAW131075:CAW131079 CKS131075:CKS131079 CUO131075:CUO131079 DEK131075:DEK131079 DOG131075:DOG131079 DYC131075:DYC131079 EHY131075:EHY131079 ERU131075:ERU131079 FBQ131075:FBQ131079 FLM131075:FLM131079 FVI131075:FVI131079 GFE131075:GFE131079 GPA131075:GPA131079 GYW131075:GYW131079 HIS131075:HIS131079 HSO131075:HSO131079 ICK131075:ICK131079 IMG131075:IMG131079 IWC131075:IWC131079 JFY131075:JFY131079 JPU131075:JPU131079 JZQ131075:JZQ131079 KJM131075:KJM131079 KTI131075:KTI131079 LDE131075:LDE131079 LNA131075:LNA131079 LWW131075:LWW131079 MGS131075:MGS131079 MQO131075:MQO131079 NAK131075:NAK131079 NKG131075:NKG131079 NUC131075:NUC131079 ODY131075:ODY131079 ONU131075:ONU131079 OXQ131075:OXQ131079 PHM131075:PHM131079 PRI131075:PRI131079 QBE131075:QBE131079 QLA131075:QLA131079 QUW131075:QUW131079 RES131075:RES131079 ROO131075:ROO131079 RYK131075:RYK131079 SIG131075:SIG131079 SSC131075:SSC131079 TBY131075:TBY131079 TLU131075:TLU131079 TVQ131075:TVQ131079 UFM131075:UFM131079 UPI131075:UPI131079 UZE131075:UZE131079 VJA131075:VJA131079 VSW131075:VSW131079 WCS131075:WCS131079 WMO131075:WMO131079 WWK131075:WWK131079 AC196611:AC196615 JY196611:JY196615 TU196611:TU196615 ADQ196611:ADQ196615 ANM196611:ANM196615 AXI196611:AXI196615 BHE196611:BHE196615 BRA196611:BRA196615 CAW196611:CAW196615 CKS196611:CKS196615 CUO196611:CUO196615 DEK196611:DEK196615 DOG196611:DOG196615 DYC196611:DYC196615 EHY196611:EHY196615 ERU196611:ERU196615 FBQ196611:FBQ196615 FLM196611:FLM196615 FVI196611:FVI196615 GFE196611:GFE196615 GPA196611:GPA196615 GYW196611:GYW196615 HIS196611:HIS196615 HSO196611:HSO196615 ICK196611:ICK196615 IMG196611:IMG196615 IWC196611:IWC196615 JFY196611:JFY196615 JPU196611:JPU196615 JZQ196611:JZQ196615 KJM196611:KJM196615 KTI196611:KTI196615 LDE196611:LDE196615 LNA196611:LNA196615 LWW196611:LWW196615 MGS196611:MGS196615 MQO196611:MQO196615 NAK196611:NAK196615 NKG196611:NKG196615 NUC196611:NUC196615 ODY196611:ODY196615 ONU196611:ONU196615 OXQ196611:OXQ196615 PHM196611:PHM196615 PRI196611:PRI196615 QBE196611:QBE196615 QLA196611:QLA196615 QUW196611:QUW196615 RES196611:RES196615 ROO196611:ROO196615 RYK196611:RYK196615 SIG196611:SIG196615 SSC196611:SSC196615 TBY196611:TBY196615 TLU196611:TLU196615 TVQ196611:TVQ196615 UFM196611:UFM196615 UPI196611:UPI196615 UZE196611:UZE196615 VJA196611:VJA196615 VSW196611:VSW196615 WCS196611:WCS196615 WMO196611:WMO196615 WWK196611:WWK196615 AC262147:AC262151 JY262147:JY262151 TU262147:TU262151 ADQ262147:ADQ262151 ANM262147:ANM262151 AXI262147:AXI262151 BHE262147:BHE262151 BRA262147:BRA262151 CAW262147:CAW262151 CKS262147:CKS262151 CUO262147:CUO262151 DEK262147:DEK262151 DOG262147:DOG262151 DYC262147:DYC262151 EHY262147:EHY262151 ERU262147:ERU262151 FBQ262147:FBQ262151 FLM262147:FLM262151 FVI262147:FVI262151 GFE262147:GFE262151 GPA262147:GPA262151 GYW262147:GYW262151 HIS262147:HIS262151 HSO262147:HSO262151 ICK262147:ICK262151 IMG262147:IMG262151 IWC262147:IWC262151 JFY262147:JFY262151 JPU262147:JPU262151 JZQ262147:JZQ262151 KJM262147:KJM262151 KTI262147:KTI262151 LDE262147:LDE262151 LNA262147:LNA262151 LWW262147:LWW262151 MGS262147:MGS262151 MQO262147:MQO262151 NAK262147:NAK262151 NKG262147:NKG262151 NUC262147:NUC262151 ODY262147:ODY262151 ONU262147:ONU262151 OXQ262147:OXQ262151 PHM262147:PHM262151 PRI262147:PRI262151 QBE262147:QBE262151 QLA262147:QLA262151 QUW262147:QUW262151 RES262147:RES262151 ROO262147:ROO262151 RYK262147:RYK262151 SIG262147:SIG262151 SSC262147:SSC262151 TBY262147:TBY262151 TLU262147:TLU262151 TVQ262147:TVQ262151 UFM262147:UFM262151 UPI262147:UPI262151 UZE262147:UZE262151 VJA262147:VJA262151 VSW262147:VSW262151 WCS262147:WCS262151 WMO262147:WMO262151 WWK262147:WWK262151 AC327683:AC327687 JY327683:JY327687 TU327683:TU327687 ADQ327683:ADQ327687 ANM327683:ANM327687 AXI327683:AXI327687 BHE327683:BHE327687 BRA327683:BRA327687 CAW327683:CAW327687 CKS327683:CKS327687 CUO327683:CUO327687 DEK327683:DEK327687 DOG327683:DOG327687 DYC327683:DYC327687 EHY327683:EHY327687 ERU327683:ERU327687 FBQ327683:FBQ327687 FLM327683:FLM327687 FVI327683:FVI327687 GFE327683:GFE327687 GPA327683:GPA327687 GYW327683:GYW327687 HIS327683:HIS327687 HSO327683:HSO327687 ICK327683:ICK327687 IMG327683:IMG327687 IWC327683:IWC327687 JFY327683:JFY327687 JPU327683:JPU327687 JZQ327683:JZQ327687 KJM327683:KJM327687 KTI327683:KTI327687 LDE327683:LDE327687 LNA327683:LNA327687 LWW327683:LWW327687 MGS327683:MGS327687 MQO327683:MQO327687 NAK327683:NAK327687 NKG327683:NKG327687 NUC327683:NUC327687 ODY327683:ODY327687 ONU327683:ONU327687 OXQ327683:OXQ327687 PHM327683:PHM327687 PRI327683:PRI327687 QBE327683:QBE327687 QLA327683:QLA327687 QUW327683:QUW327687 RES327683:RES327687 ROO327683:ROO327687 RYK327683:RYK327687 SIG327683:SIG327687 SSC327683:SSC327687 TBY327683:TBY327687 TLU327683:TLU327687 TVQ327683:TVQ327687 UFM327683:UFM327687 UPI327683:UPI327687 UZE327683:UZE327687 VJA327683:VJA327687 VSW327683:VSW327687 WCS327683:WCS327687 WMO327683:WMO327687 WWK327683:WWK327687 AC393219:AC393223 JY393219:JY393223 TU393219:TU393223 ADQ393219:ADQ393223 ANM393219:ANM393223 AXI393219:AXI393223 BHE393219:BHE393223 BRA393219:BRA393223 CAW393219:CAW393223 CKS393219:CKS393223 CUO393219:CUO393223 DEK393219:DEK393223 DOG393219:DOG393223 DYC393219:DYC393223 EHY393219:EHY393223 ERU393219:ERU393223 FBQ393219:FBQ393223 FLM393219:FLM393223 FVI393219:FVI393223 GFE393219:GFE393223 GPA393219:GPA393223 GYW393219:GYW393223 HIS393219:HIS393223 HSO393219:HSO393223 ICK393219:ICK393223 IMG393219:IMG393223 IWC393219:IWC393223 JFY393219:JFY393223 JPU393219:JPU393223 JZQ393219:JZQ393223 KJM393219:KJM393223 KTI393219:KTI393223 LDE393219:LDE393223 LNA393219:LNA393223 LWW393219:LWW393223 MGS393219:MGS393223 MQO393219:MQO393223 NAK393219:NAK393223 NKG393219:NKG393223 NUC393219:NUC393223 ODY393219:ODY393223 ONU393219:ONU393223 OXQ393219:OXQ393223 PHM393219:PHM393223 PRI393219:PRI393223 QBE393219:QBE393223 QLA393219:QLA393223 QUW393219:QUW393223 RES393219:RES393223 ROO393219:ROO393223 RYK393219:RYK393223 SIG393219:SIG393223 SSC393219:SSC393223 TBY393219:TBY393223 TLU393219:TLU393223 TVQ393219:TVQ393223 UFM393219:UFM393223 UPI393219:UPI393223 UZE393219:UZE393223 VJA393219:VJA393223 VSW393219:VSW393223 WCS393219:WCS393223 WMO393219:WMO393223 WWK393219:WWK393223 AC458755:AC458759 JY458755:JY458759 TU458755:TU458759 ADQ458755:ADQ458759 ANM458755:ANM458759 AXI458755:AXI458759 BHE458755:BHE458759 BRA458755:BRA458759 CAW458755:CAW458759 CKS458755:CKS458759 CUO458755:CUO458759 DEK458755:DEK458759 DOG458755:DOG458759 DYC458755:DYC458759 EHY458755:EHY458759 ERU458755:ERU458759 FBQ458755:FBQ458759 FLM458755:FLM458759 FVI458755:FVI458759 GFE458755:GFE458759 GPA458755:GPA458759 GYW458755:GYW458759 HIS458755:HIS458759 HSO458755:HSO458759 ICK458755:ICK458759 IMG458755:IMG458759 IWC458755:IWC458759 JFY458755:JFY458759 JPU458755:JPU458759 JZQ458755:JZQ458759 KJM458755:KJM458759 KTI458755:KTI458759 LDE458755:LDE458759 LNA458755:LNA458759 LWW458755:LWW458759 MGS458755:MGS458759 MQO458755:MQO458759 NAK458755:NAK458759 NKG458755:NKG458759 NUC458755:NUC458759 ODY458755:ODY458759 ONU458755:ONU458759 OXQ458755:OXQ458759 PHM458755:PHM458759 PRI458755:PRI458759 QBE458755:QBE458759 QLA458755:QLA458759 QUW458755:QUW458759 RES458755:RES458759 ROO458755:ROO458759 RYK458755:RYK458759 SIG458755:SIG458759 SSC458755:SSC458759 TBY458755:TBY458759 TLU458755:TLU458759 TVQ458755:TVQ458759 UFM458755:UFM458759 UPI458755:UPI458759 UZE458755:UZE458759 VJA458755:VJA458759 VSW458755:VSW458759 WCS458755:WCS458759 WMO458755:WMO458759 WWK458755:WWK458759 AC524291:AC524295 JY524291:JY524295 TU524291:TU524295 ADQ524291:ADQ524295 ANM524291:ANM524295 AXI524291:AXI524295 BHE524291:BHE524295 BRA524291:BRA524295 CAW524291:CAW524295 CKS524291:CKS524295 CUO524291:CUO524295 DEK524291:DEK524295 DOG524291:DOG524295 DYC524291:DYC524295 EHY524291:EHY524295 ERU524291:ERU524295 FBQ524291:FBQ524295 FLM524291:FLM524295 FVI524291:FVI524295 GFE524291:GFE524295 GPA524291:GPA524295 GYW524291:GYW524295 HIS524291:HIS524295 HSO524291:HSO524295 ICK524291:ICK524295 IMG524291:IMG524295 IWC524291:IWC524295 JFY524291:JFY524295 JPU524291:JPU524295 JZQ524291:JZQ524295 KJM524291:KJM524295 KTI524291:KTI524295 LDE524291:LDE524295 LNA524291:LNA524295 LWW524291:LWW524295 MGS524291:MGS524295 MQO524291:MQO524295 NAK524291:NAK524295 NKG524291:NKG524295 NUC524291:NUC524295 ODY524291:ODY524295 ONU524291:ONU524295 OXQ524291:OXQ524295 PHM524291:PHM524295 PRI524291:PRI524295 QBE524291:QBE524295 QLA524291:QLA524295 QUW524291:QUW524295 RES524291:RES524295 ROO524291:ROO524295 RYK524291:RYK524295 SIG524291:SIG524295 SSC524291:SSC524295 TBY524291:TBY524295 TLU524291:TLU524295 TVQ524291:TVQ524295 UFM524291:UFM524295 UPI524291:UPI524295 UZE524291:UZE524295 VJA524291:VJA524295 VSW524291:VSW524295 WCS524291:WCS524295 WMO524291:WMO524295 WWK524291:WWK524295 AC589827:AC589831 JY589827:JY589831 TU589827:TU589831 ADQ589827:ADQ589831 ANM589827:ANM589831 AXI589827:AXI589831 BHE589827:BHE589831 BRA589827:BRA589831 CAW589827:CAW589831 CKS589827:CKS589831 CUO589827:CUO589831 DEK589827:DEK589831 DOG589827:DOG589831 DYC589827:DYC589831 EHY589827:EHY589831 ERU589827:ERU589831 FBQ589827:FBQ589831 FLM589827:FLM589831 FVI589827:FVI589831 GFE589827:GFE589831 GPA589827:GPA589831 GYW589827:GYW589831 HIS589827:HIS589831 HSO589827:HSO589831 ICK589827:ICK589831 IMG589827:IMG589831 IWC589827:IWC589831 JFY589827:JFY589831 JPU589827:JPU589831 JZQ589827:JZQ589831 KJM589827:KJM589831 KTI589827:KTI589831 LDE589827:LDE589831 LNA589827:LNA589831 LWW589827:LWW589831 MGS589827:MGS589831 MQO589827:MQO589831 NAK589827:NAK589831 NKG589827:NKG589831 NUC589827:NUC589831 ODY589827:ODY589831 ONU589827:ONU589831 OXQ589827:OXQ589831 PHM589827:PHM589831 PRI589827:PRI589831 QBE589827:QBE589831 QLA589827:QLA589831 QUW589827:QUW589831 RES589827:RES589831 ROO589827:ROO589831 RYK589827:RYK589831 SIG589827:SIG589831 SSC589827:SSC589831 TBY589827:TBY589831 TLU589827:TLU589831 TVQ589827:TVQ589831 UFM589827:UFM589831 UPI589827:UPI589831 UZE589827:UZE589831 VJA589827:VJA589831 VSW589827:VSW589831 WCS589827:WCS589831 WMO589827:WMO589831 WWK589827:WWK589831 AC655363:AC655367 JY655363:JY655367 TU655363:TU655367 ADQ655363:ADQ655367 ANM655363:ANM655367 AXI655363:AXI655367 BHE655363:BHE655367 BRA655363:BRA655367 CAW655363:CAW655367 CKS655363:CKS655367 CUO655363:CUO655367 DEK655363:DEK655367 DOG655363:DOG655367 DYC655363:DYC655367 EHY655363:EHY655367 ERU655363:ERU655367 FBQ655363:FBQ655367 FLM655363:FLM655367 FVI655363:FVI655367 GFE655363:GFE655367 GPA655363:GPA655367 GYW655363:GYW655367 HIS655363:HIS655367 HSO655363:HSO655367 ICK655363:ICK655367 IMG655363:IMG655367 IWC655363:IWC655367 JFY655363:JFY655367 JPU655363:JPU655367 JZQ655363:JZQ655367 KJM655363:KJM655367 KTI655363:KTI655367 LDE655363:LDE655367 LNA655363:LNA655367 LWW655363:LWW655367 MGS655363:MGS655367 MQO655363:MQO655367 NAK655363:NAK655367 NKG655363:NKG655367 NUC655363:NUC655367 ODY655363:ODY655367 ONU655363:ONU655367 OXQ655363:OXQ655367 PHM655363:PHM655367 PRI655363:PRI655367 QBE655363:QBE655367 QLA655363:QLA655367 QUW655363:QUW655367 RES655363:RES655367 ROO655363:ROO655367 RYK655363:RYK655367 SIG655363:SIG655367 SSC655363:SSC655367 TBY655363:TBY655367 TLU655363:TLU655367 TVQ655363:TVQ655367 UFM655363:UFM655367 UPI655363:UPI655367 UZE655363:UZE655367 VJA655363:VJA655367 VSW655363:VSW655367 WCS655363:WCS655367 WMO655363:WMO655367 WWK655363:WWK655367 AC720899:AC720903 JY720899:JY720903 TU720899:TU720903 ADQ720899:ADQ720903 ANM720899:ANM720903 AXI720899:AXI720903 BHE720899:BHE720903 BRA720899:BRA720903 CAW720899:CAW720903 CKS720899:CKS720903 CUO720899:CUO720903 DEK720899:DEK720903 DOG720899:DOG720903 DYC720899:DYC720903 EHY720899:EHY720903 ERU720899:ERU720903 FBQ720899:FBQ720903 FLM720899:FLM720903 FVI720899:FVI720903 GFE720899:GFE720903 GPA720899:GPA720903 GYW720899:GYW720903 HIS720899:HIS720903 HSO720899:HSO720903 ICK720899:ICK720903 IMG720899:IMG720903 IWC720899:IWC720903 JFY720899:JFY720903 JPU720899:JPU720903 JZQ720899:JZQ720903 KJM720899:KJM720903 KTI720899:KTI720903 LDE720899:LDE720903 LNA720899:LNA720903 LWW720899:LWW720903 MGS720899:MGS720903 MQO720899:MQO720903 NAK720899:NAK720903 NKG720899:NKG720903 NUC720899:NUC720903 ODY720899:ODY720903 ONU720899:ONU720903 OXQ720899:OXQ720903 PHM720899:PHM720903 PRI720899:PRI720903 QBE720899:QBE720903 QLA720899:QLA720903 QUW720899:QUW720903 RES720899:RES720903 ROO720899:ROO720903 RYK720899:RYK720903 SIG720899:SIG720903 SSC720899:SSC720903 TBY720899:TBY720903 TLU720899:TLU720903 TVQ720899:TVQ720903 UFM720899:UFM720903 UPI720899:UPI720903 UZE720899:UZE720903 VJA720899:VJA720903 VSW720899:VSW720903 WCS720899:WCS720903 WMO720899:WMO720903 WWK720899:WWK720903 AC786435:AC786439 JY786435:JY786439 TU786435:TU786439 ADQ786435:ADQ786439 ANM786435:ANM786439 AXI786435:AXI786439 BHE786435:BHE786439 BRA786435:BRA786439 CAW786435:CAW786439 CKS786435:CKS786439 CUO786435:CUO786439 DEK786435:DEK786439 DOG786435:DOG786439 DYC786435:DYC786439 EHY786435:EHY786439 ERU786435:ERU786439 FBQ786435:FBQ786439 FLM786435:FLM786439 FVI786435:FVI786439 GFE786435:GFE786439 GPA786435:GPA786439 GYW786435:GYW786439 HIS786435:HIS786439 HSO786435:HSO786439 ICK786435:ICK786439 IMG786435:IMG786439 IWC786435:IWC786439 JFY786435:JFY786439 JPU786435:JPU786439 JZQ786435:JZQ786439 KJM786435:KJM786439 KTI786435:KTI786439 LDE786435:LDE786439 LNA786435:LNA786439 LWW786435:LWW786439 MGS786435:MGS786439 MQO786435:MQO786439 NAK786435:NAK786439 NKG786435:NKG786439 NUC786435:NUC786439 ODY786435:ODY786439 ONU786435:ONU786439 OXQ786435:OXQ786439 PHM786435:PHM786439 PRI786435:PRI786439 QBE786435:QBE786439 QLA786435:QLA786439 QUW786435:QUW786439 RES786435:RES786439 ROO786435:ROO786439 RYK786435:RYK786439 SIG786435:SIG786439 SSC786435:SSC786439 TBY786435:TBY786439 TLU786435:TLU786439 TVQ786435:TVQ786439 UFM786435:UFM786439 UPI786435:UPI786439 UZE786435:UZE786439 VJA786435:VJA786439 VSW786435:VSW786439 WCS786435:WCS786439 WMO786435:WMO786439 WWK786435:WWK786439 AC851971:AC851975 JY851971:JY851975 TU851971:TU851975 ADQ851971:ADQ851975 ANM851971:ANM851975 AXI851971:AXI851975 BHE851971:BHE851975 BRA851971:BRA851975 CAW851971:CAW851975 CKS851971:CKS851975 CUO851971:CUO851975 DEK851971:DEK851975 DOG851971:DOG851975 DYC851971:DYC851975 EHY851971:EHY851975 ERU851971:ERU851975 FBQ851971:FBQ851975 FLM851971:FLM851975 FVI851971:FVI851975 GFE851971:GFE851975 GPA851971:GPA851975 GYW851971:GYW851975 HIS851971:HIS851975 HSO851971:HSO851975 ICK851971:ICK851975 IMG851971:IMG851975 IWC851971:IWC851975 JFY851971:JFY851975 JPU851971:JPU851975 JZQ851971:JZQ851975 KJM851971:KJM851975 KTI851971:KTI851975 LDE851971:LDE851975 LNA851971:LNA851975 LWW851971:LWW851975 MGS851971:MGS851975 MQO851971:MQO851975 NAK851971:NAK851975 NKG851971:NKG851975 NUC851971:NUC851975 ODY851971:ODY851975 ONU851971:ONU851975 OXQ851971:OXQ851975 PHM851971:PHM851975 PRI851971:PRI851975 QBE851971:QBE851975 QLA851971:QLA851975 QUW851971:QUW851975 RES851971:RES851975 ROO851971:ROO851975 RYK851971:RYK851975 SIG851971:SIG851975 SSC851971:SSC851975 TBY851971:TBY851975 TLU851971:TLU851975 TVQ851971:TVQ851975 UFM851971:UFM851975 UPI851971:UPI851975 UZE851971:UZE851975 VJA851971:VJA851975 VSW851971:VSW851975 WCS851971:WCS851975 WMO851971:WMO851975 WWK851971:WWK851975 AC917507:AC917511 JY917507:JY917511 TU917507:TU917511 ADQ917507:ADQ917511 ANM917507:ANM917511 AXI917507:AXI917511 BHE917507:BHE917511 BRA917507:BRA917511 CAW917507:CAW917511 CKS917507:CKS917511 CUO917507:CUO917511 DEK917507:DEK917511 DOG917507:DOG917511 DYC917507:DYC917511 EHY917507:EHY917511 ERU917507:ERU917511 FBQ917507:FBQ917511 FLM917507:FLM917511 FVI917507:FVI917511 GFE917507:GFE917511 GPA917507:GPA917511 GYW917507:GYW917511 HIS917507:HIS917511 HSO917507:HSO917511 ICK917507:ICK917511 IMG917507:IMG917511 IWC917507:IWC917511 JFY917507:JFY917511 JPU917507:JPU917511 JZQ917507:JZQ917511 KJM917507:KJM917511 KTI917507:KTI917511 LDE917507:LDE917511 LNA917507:LNA917511 LWW917507:LWW917511 MGS917507:MGS917511 MQO917507:MQO917511 NAK917507:NAK917511 NKG917507:NKG917511 NUC917507:NUC917511 ODY917507:ODY917511 ONU917507:ONU917511 OXQ917507:OXQ917511 PHM917507:PHM917511 PRI917507:PRI917511 QBE917507:QBE917511 QLA917507:QLA917511 QUW917507:QUW917511 RES917507:RES917511 ROO917507:ROO917511 RYK917507:RYK917511 SIG917507:SIG917511 SSC917507:SSC917511 TBY917507:TBY917511 TLU917507:TLU917511 TVQ917507:TVQ917511 UFM917507:UFM917511 UPI917507:UPI917511 UZE917507:UZE917511 VJA917507:VJA917511 VSW917507:VSW917511 WCS917507:WCS917511 WMO917507:WMO917511 WWK917507:WWK917511 AC983043:AC983047 JY983043:JY983047 TU983043:TU983047 ADQ983043:ADQ983047 ANM983043:ANM983047 AXI983043:AXI983047 BHE983043:BHE983047 BRA983043:BRA983047 CAW983043:CAW983047 CKS983043:CKS983047 CUO983043:CUO983047 DEK983043:DEK983047 DOG983043:DOG983047 DYC983043:DYC983047 EHY983043:EHY983047 ERU983043:ERU983047 FBQ983043:FBQ983047 FLM983043:FLM983047 FVI983043:FVI983047 GFE983043:GFE983047 GPA983043:GPA983047 GYW983043:GYW983047 HIS983043:HIS983047 HSO983043:HSO983047 ICK983043:ICK983047 IMG983043:IMG983047 IWC983043:IWC983047 JFY983043:JFY983047 JPU983043:JPU983047 JZQ983043:JZQ983047 KJM983043:KJM983047 KTI983043:KTI983047 LDE983043:LDE983047 LNA983043:LNA983047 LWW983043:LWW983047 MGS983043:MGS983047 MQO983043:MQO983047 NAK983043:NAK983047 NKG983043:NKG983047 NUC983043:NUC983047 ODY983043:ODY983047 ONU983043:ONU983047 OXQ983043:OXQ983047 PHM983043:PHM983047 PRI983043:PRI983047 QBE983043:QBE983047 QLA983043:QLA983047 QUW983043:QUW983047 RES983043:RES983047 ROO983043:ROO983047 RYK983043:RYK983047 SIG983043:SIG983047 SSC983043:SSC983047 TBY983043:TBY983047 TLU983043:TLU983047 TVQ983043:TVQ983047 UFM983043:UFM983047 UPI983043:UPI983047 UZE983043:UZE983047 VJA983043:VJA983047 VSW983043:VSW983047 WCS983043:WCS983047 WMO983043:WMO983047 WWK983043:WWK983047" xr:uid="{CC86D12E-3442-44E1-BCDD-0499F267E28E}">
      <formula1>"паспорт,без паспорта"</formula1>
      <formula2>0</formula2>
    </dataValidation>
    <dataValidation type="list" operator="equal" showErrorMessage="1" sqref="D1 IZ1 SV1 ACR1 AMN1 AWJ1 BGF1 BQB1 BZX1 CJT1 CTP1 DDL1 DNH1 DXD1 EGZ1 EQV1 FAR1 FKN1 FUJ1 GEF1 GOB1 GXX1 HHT1 HRP1 IBL1 ILH1 IVD1 JEZ1 JOV1 JYR1 KIN1 KSJ1 LCF1 LMB1 LVX1 MFT1 MPP1 MZL1 NJH1 NTD1 OCZ1 OMV1 OWR1 PGN1 PQJ1 QAF1 QKB1 QTX1 RDT1 RNP1 RXL1 SHH1 SRD1 TAZ1 TKV1 TUR1 UEN1 UOJ1 UYF1 VIB1 VRX1 WBT1 WLP1 WVL1 D65537 IZ65537 SV65537 ACR65537 AMN65537 AWJ65537 BGF65537 BQB65537 BZX65537 CJT65537 CTP65537 DDL65537 DNH65537 DXD65537 EGZ65537 EQV65537 FAR65537 FKN65537 FUJ65537 GEF65537 GOB65537 GXX65537 HHT65537 HRP65537 IBL65537 ILH65537 IVD65537 JEZ65537 JOV65537 JYR65537 KIN65537 KSJ65537 LCF65537 LMB65537 LVX65537 MFT65537 MPP65537 MZL65537 NJH65537 NTD65537 OCZ65537 OMV65537 OWR65537 PGN65537 PQJ65537 QAF65537 QKB65537 QTX65537 RDT65537 RNP65537 RXL65537 SHH65537 SRD65537 TAZ65537 TKV65537 TUR65537 UEN65537 UOJ65537 UYF65537 VIB65537 VRX65537 WBT65537 WLP65537 WVL65537 D131073 IZ131073 SV131073 ACR131073 AMN131073 AWJ131073 BGF131073 BQB131073 BZX131073 CJT131073 CTP131073 DDL131073 DNH131073 DXD131073 EGZ131073 EQV131073 FAR131073 FKN131073 FUJ131073 GEF131073 GOB131073 GXX131073 HHT131073 HRP131073 IBL131073 ILH131073 IVD131073 JEZ131073 JOV131073 JYR131073 KIN131073 KSJ131073 LCF131073 LMB131073 LVX131073 MFT131073 MPP131073 MZL131073 NJH131073 NTD131073 OCZ131073 OMV131073 OWR131073 PGN131073 PQJ131073 QAF131073 QKB131073 QTX131073 RDT131073 RNP131073 RXL131073 SHH131073 SRD131073 TAZ131073 TKV131073 TUR131073 UEN131073 UOJ131073 UYF131073 VIB131073 VRX131073 WBT131073 WLP131073 WVL131073 D196609 IZ196609 SV196609 ACR196609 AMN196609 AWJ196609 BGF196609 BQB196609 BZX196609 CJT196609 CTP196609 DDL196609 DNH196609 DXD196609 EGZ196609 EQV196609 FAR196609 FKN196609 FUJ196609 GEF196609 GOB196609 GXX196609 HHT196609 HRP196609 IBL196609 ILH196609 IVD196609 JEZ196609 JOV196609 JYR196609 KIN196609 KSJ196609 LCF196609 LMB196609 LVX196609 MFT196609 MPP196609 MZL196609 NJH196609 NTD196609 OCZ196609 OMV196609 OWR196609 PGN196609 PQJ196609 QAF196609 QKB196609 QTX196609 RDT196609 RNP196609 RXL196609 SHH196609 SRD196609 TAZ196609 TKV196609 TUR196609 UEN196609 UOJ196609 UYF196609 VIB196609 VRX196609 WBT196609 WLP196609 WVL196609 D262145 IZ262145 SV262145 ACR262145 AMN262145 AWJ262145 BGF262145 BQB262145 BZX262145 CJT262145 CTP262145 DDL262145 DNH262145 DXD262145 EGZ262145 EQV262145 FAR262145 FKN262145 FUJ262145 GEF262145 GOB262145 GXX262145 HHT262145 HRP262145 IBL262145 ILH262145 IVD262145 JEZ262145 JOV262145 JYR262145 KIN262145 KSJ262145 LCF262145 LMB262145 LVX262145 MFT262145 MPP262145 MZL262145 NJH262145 NTD262145 OCZ262145 OMV262145 OWR262145 PGN262145 PQJ262145 QAF262145 QKB262145 QTX262145 RDT262145 RNP262145 RXL262145 SHH262145 SRD262145 TAZ262145 TKV262145 TUR262145 UEN262145 UOJ262145 UYF262145 VIB262145 VRX262145 WBT262145 WLP262145 WVL262145 D327681 IZ327681 SV327681 ACR327681 AMN327681 AWJ327681 BGF327681 BQB327681 BZX327681 CJT327681 CTP327681 DDL327681 DNH327681 DXD327681 EGZ327681 EQV327681 FAR327681 FKN327681 FUJ327681 GEF327681 GOB327681 GXX327681 HHT327681 HRP327681 IBL327681 ILH327681 IVD327681 JEZ327681 JOV327681 JYR327681 KIN327681 KSJ327681 LCF327681 LMB327681 LVX327681 MFT327681 MPP327681 MZL327681 NJH327681 NTD327681 OCZ327681 OMV327681 OWR327681 PGN327681 PQJ327681 QAF327681 QKB327681 QTX327681 RDT327681 RNP327681 RXL327681 SHH327681 SRD327681 TAZ327681 TKV327681 TUR327681 UEN327681 UOJ327681 UYF327681 VIB327681 VRX327681 WBT327681 WLP327681 WVL327681 D393217 IZ393217 SV393217 ACR393217 AMN393217 AWJ393217 BGF393217 BQB393217 BZX393217 CJT393217 CTP393217 DDL393217 DNH393217 DXD393217 EGZ393217 EQV393217 FAR393217 FKN393217 FUJ393217 GEF393217 GOB393217 GXX393217 HHT393217 HRP393217 IBL393217 ILH393217 IVD393217 JEZ393217 JOV393217 JYR393217 KIN393217 KSJ393217 LCF393217 LMB393217 LVX393217 MFT393217 MPP393217 MZL393217 NJH393217 NTD393217 OCZ393217 OMV393217 OWR393217 PGN393217 PQJ393217 QAF393217 QKB393217 QTX393217 RDT393217 RNP393217 RXL393217 SHH393217 SRD393217 TAZ393217 TKV393217 TUR393217 UEN393217 UOJ393217 UYF393217 VIB393217 VRX393217 WBT393217 WLP393217 WVL393217 D458753 IZ458753 SV458753 ACR458753 AMN458753 AWJ458753 BGF458753 BQB458753 BZX458753 CJT458753 CTP458753 DDL458753 DNH458753 DXD458753 EGZ458753 EQV458753 FAR458753 FKN458753 FUJ458753 GEF458753 GOB458753 GXX458753 HHT458753 HRP458753 IBL458753 ILH458753 IVD458753 JEZ458753 JOV458753 JYR458753 KIN458753 KSJ458753 LCF458753 LMB458753 LVX458753 MFT458753 MPP458753 MZL458753 NJH458753 NTD458753 OCZ458753 OMV458753 OWR458753 PGN458753 PQJ458753 QAF458753 QKB458753 QTX458753 RDT458753 RNP458753 RXL458753 SHH458753 SRD458753 TAZ458753 TKV458753 TUR458753 UEN458753 UOJ458753 UYF458753 VIB458753 VRX458753 WBT458753 WLP458753 WVL458753 D524289 IZ524289 SV524289 ACR524289 AMN524289 AWJ524289 BGF524289 BQB524289 BZX524289 CJT524289 CTP524289 DDL524289 DNH524289 DXD524289 EGZ524289 EQV524289 FAR524289 FKN524289 FUJ524289 GEF524289 GOB524289 GXX524289 HHT524289 HRP524289 IBL524289 ILH524289 IVD524289 JEZ524289 JOV524289 JYR524289 KIN524289 KSJ524289 LCF524289 LMB524289 LVX524289 MFT524289 MPP524289 MZL524289 NJH524289 NTD524289 OCZ524289 OMV524289 OWR524289 PGN524289 PQJ524289 QAF524289 QKB524289 QTX524289 RDT524289 RNP524289 RXL524289 SHH524289 SRD524289 TAZ524289 TKV524289 TUR524289 UEN524289 UOJ524289 UYF524289 VIB524289 VRX524289 WBT524289 WLP524289 WVL524289 D589825 IZ589825 SV589825 ACR589825 AMN589825 AWJ589825 BGF589825 BQB589825 BZX589825 CJT589825 CTP589825 DDL589825 DNH589825 DXD589825 EGZ589825 EQV589825 FAR589825 FKN589825 FUJ589825 GEF589825 GOB589825 GXX589825 HHT589825 HRP589825 IBL589825 ILH589825 IVD589825 JEZ589825 JOV589825 JYR589825 KIN589825 KSJ589825 LCF589825 LMB589825 LVX589825 MFT589825 MPP589825 MZL589825 NJH589825 NTD589825 OCZ589825 OMV589825 OWR589825 PGN589825 PQJ589825 QAF589825 QKB589825 QTX589825 RDT589825 RNP589825 RXL589825 SHH589825 SRD589825 TAZ589825 TKV589825 TUR589825 UEN589825 UOJ589825 UYF589825 VIB589825 VRX589825 WBT589825 WLP589825 WVL589825 D655361 IZ655361 SV655361 ACR655361 AMN655361 AWJ655361 BGF655361 BQB655361 BZX655361 CJT655361 CTP655361 DDL655361 DNH655361 DXD655361 EGZ655361 EQV655361 FAR655361 FKN655361 FUJ655361 GEF655361 GOB655361 GXX655361 HHT655361 HRP655361 IBL655361 ILH655361 IVD655361 JEZ655361 JOV655361 JYR655361 KIN655361 KSJ655361 LCF655361 LMB655361 LVX655361 MFT655361 MPP655361 MZL655361 NJH655361 NTD655361 OCZ655361 OMV655361 OWR655361 PGN655361 PQJ655361 QAF655361 QKB655361 QTX655361 RDT655361 RNP655361 RXL655361 SHH655361 SRD655361 TAZ655361 TKV655361 TUR655361 UEN655361 UOJ655361 UYF655361 VIB655361 VRX655361 WBT655361 WLP655361 WVL655361 D720897 IZ720897 SV720897 ACR720897 AMN720897 AWJ720897 BGF720897 BQB720897 BZX720897 CJT720897 CTP720897 DDL720897 DNH720897 DXD720897 EGZ720897 EQV720897 FAR720897 FKN720897 FUJ720897 GEF720897 GOB720897 GXX720897 HHT720897 HRP720897 IBL720897 ILH720897 IVD720897 JEZ720897 JOV720897 JYR720897 KIN720897 KSJ720897 LCF720897 LMB720897 LVX720897 MFT720897 MPP720897 MZL720897 NJH720897 NTD720897 OCZ720897 OMV720897 OWR720897 PGN720897 PQJ720897 QAF720897 QKB720897 QTX720897 RDT720897 RNP720897 RXL720897 SHH720897 SRD720897 TAZ720897 TKV720897 TUR720897 UEN720897 UOJ720897 UYF720897 VIB720897 VRX720897 WBT720897 WLP720897 WVL720897 D786433 IZ786433 SV786433 ACR786433 AMN786433 AWJ786433 BGF786433 BQB786433 BZX786433 CJT786433 CTP786433 DDL786433 DNH786433 DXD786433 EGZ786433 EQV786433 FAR786433 FKN786433 FUJ786433 GEF786433 GOB786433 GXX786433 HHT786433 HRP786433 IBL786433 ILH786433 IVD786433 JEZ786433 JOV786433 JYR786433 KIN786433 KSJ786433 LCF786433 LMB786433 LVX786433 MFT786433 MPP786433 MZL786433 NJH786433 NTD786433 OCZ786433 OMV786433 OWR786433 PGN786433 PQJ786433 QAF786433 QKB786433 QTX786433 RDT786433 RNP786433 RXL786433 SHH786433 SRD786433 TAZ786433 TKV786433 TUR786433 UEN786433 UOJ786433 UYF786433 VIB786433 VRX786433 WBT786433 WLP786433 WVL786433 D851969 IZ851969 SV851969 ACR851969 AMN851969 AWJ851969 BGF851969 BQB851969 BZX851969 CJT851969 CTP851969 DDL851969 DNH851969 DXD851969 EGZ851969 EQV851969 FAR851969 FKN851969 FUJ851969 GEF851969 GOB851969 GXX851969 HHT851969 HRP851969 IBL851969 ILH851969 IVD851969 JEZ851969 JOV851969 JYR851969 KIN851969 KSJ851969 LCF851969 LMB851969 LVX851969 MFT851969 MPP851969 MZL851969 NJH851969 NTD851969 OCZ851969 OMV851969 OWR851969 PGN851969 PQJ851969 QAF851969 QKB851969 QTX851969 RDT851969 RNP851969 RXL851969 SHH851969 SRD851969 TAZ851969 TKV851969 TUR851969 UEN851969 UOJ851969 UYF851969 VIB851969 VRX851969 WBT851969 WLP851969 WVL851969 D917505 IZ917505 SV917505 ACR917505 AMN917505 AWJ917505 BGF917505 BQB917505 BZX917505 CJT917505 CTP917505 DDL917505 DNH917505 DXD917505 EGZ917505 EQV917505 FAR917505 FKN917505 FUJ917505 GEF917505 GOB917505 GXX917505 HHT917505 HRP917505 IBL917505 ILH917505 IVD917505 JEZ917505 JOV917505 JYR917505 KIN917505 KSJ917505 LCF917505 LMB917505 LVX917505 MFT917505 MPP917505 MZL917505 NJH917505 NTD917505 OCZ917505 OMV917505 OWR917505 PGN917505 PQJ917505 QAF917505 QKB917505 QTX917505 RDT917505 RNP917505 RXL917505 SHH917505 SRD917505 TAZ917505 TKV917505 TUR917505 UEN917505 UOJ917505 UYF917505 VIB917505 VRX917505 WBT917505 WLP917505 WVL917505 D983041 IZ983041 SV983041 ACR983041 AMN983041 AWJ983041 BGF983041 BQB983041 BZX983041 CJT983041 CTP983041 DDL983041 DNH983041 DXD983041 EGZ983041 EQV983041 FAR983041 FKN983041 FUJ983041 GEF983041 GOB983041 GXX983041 HHT983041 HRP983041 IBL983041 ILH983041 IVD983041 JEZ983041 JOV983041 JYR983041 KIN983041 KSJ983041 LCF983041 LMB983041 LVX983041 MFT983041 MPP983041 MZL983041 NJH983041 NTD983041 OCZ983041 OMV983041 OWR983041 PGN983041 PQJ983041 QAF983041 QKB983041 QTX983041 RDT983041 RNP983041 RXL983041 SHH983041 SRD983041 TAZ983041 TKV983041 TUR983041 UEN983041 UOJ983041 UYF983041 VIB983041 VRX983041 WBT983041 WLP983041 WVL983041" xr:uid="{30864C08-9F3A-4D99-9AEA-9089E1274FA1}">
      <formula1>"М,Ж"</formula1>
      <formula2>0</formula2>
    </dataValidation>
    <dataValidation operator="equal" showErrorMessage="1" sqref="C1 IY1 SU1 ACQ1 AMM1 AWI1 BGE1 BQA1 BZW1 CJS1 CTO1 DDK1 DNG1 DXC1 EGY1 EQU1 FAQ1 FKM1 FUI1 GEE1 GOA1 GXW1 HHS1 HRO1 IBK1 ILG1 IVC1 JEY1 JOU1 JYQ1 KIM1 KSI1 LCE1 LMA1 LVW1 MFS1 MPO1 MZK1 NJG1 NTC1 OCY1 OMU1 OWQ1 PGM1 PQI1 QAE1 QKA1 QTW1 RDS1 RNO1 RXK1 SHG1 SRC1 TAY1 TKU1 TUQ1 UEM1 UOI1 UYE1 VIA1 VRW1 WBS1 WLO1 WVK1 C65537 IY65537 SU65537 ACQ65537 AMM65537 AWI65537 BGE65537 BQA65537 BZW65537 CJS65537 CTO65537 DDK65537 DNG65537 DXC65537 EGY65537 EQU65537 FAQ65537 FKM65537 FUI65537 GEE65537 GOA65537 GXW65537 HHS65537 HRO65537 IBK65537 ILG65537 IVC65537 JEY65537 JOU65537 JYQ65537 KIM65537 KSI65537 LCE65537 LMA65537 LVW65537 MFS65537 MPO65537 MZK65537 NJG65537 NTC65537 OCY65537 OMU65537 OWQ65537 PGM65537 PQI65537 QAE65537 QKA65537 QTW65537 RDS65537 RNO65537 RXK65537 SHG65537 SRC65537 TAY65537 TKU65537 TUQ65537 UEM65537 UOI65537 UYE65537 VIA65537 VRW65537 WBS65537 WLO65537 WVK65537 C131073 IY131073 SU131073 ACQ131073 AMM131073 AWI131073 BGE131073 BQA131073 BZW131073 CJS131073 CTO131073 DDK131073 DNG131073 DXC131073 EGY131073 EQU131073 FAQ131073 FKM131073 FUI131073 GEE131073 GOA131073 GXW131073 HHS131073 HRO131073 IBK131073 ILG131073 IVC131073 JEY131073 JOU131073 JYQ131073 KIM131073 KSI131073 LCE131073 LMA131073 LVW131073 MFS131073 MPO131073 MZK131073 NJG131073 NTC131073 OCY131073 OMU131073 OWQ131073 PGM131073 PQI131073 QAE131073 QKA131073 QTW131073 RDS131073 RNO131073 RXK131073 SHG131073 SRC131073 TAY131073 TKU131073 TUQ131073 UEM131073 UOI131073 UYE131073 VIA131073 VRW131073 WBS131073 WLO131073 WVK131073 C196609 IY196609 SU196609 ACQ196609 AMM196609 AWI196609 BGE196609 BQA196609 BZW196609 CJS196609 CTO196609 DDK196609 DNG196609 DXC196609 EGY196609 EQU196609 FAQ196609 FKM196609 FUI196609 GEE196609 GOA196609 GXW196609 HHS196609 HRO196609 IBK196609 ILG196609 IVC196609 JEY196609 JOU196609 JYQ196609 KIM196609 KSI196609 LCE196609 LMA196609 LVW196609 MFS196609 MPO196609 MZK196609 NJG196609 NTC196609 OCY196609 OMU196609 OWQ196609 PGM196609 PQI196609 QAE196609 QKA196609 QTW196609 RDS196609 RNO196609 RXK196609 SHG196609 SRC196609 TAY196609 TKU196609 TUQ196609 UEM196609 UOI196609 UYE196609 VIA196609 VRW196609 WBS196609 WLO196609 WVK196609 C262145 IY262145 SU262145 ACQ262145 AMM262145 AWI262145 BGE262145 BQA262145 BZW262145 CJS262145 CTO262145 DDK262145 DNG262145 DXC262145 EGY262145 EQU262145 FAQ262145 FKM262145 FUI262145 GEE262145 GOA262145 GXW262145 HHS262145 HRO262145 IBK262145 ILG262145 IVC262145 JEY262145 JOU262145 JYQ262145 KIM262145 KSI262145 LCE262145 LMA262145 LVW262145 MFS262145 MPO262145 MZK262145 NJG262145 NTC262145 OCY262145 OMU262145 OWQ262145 PGM262145 PQI262145 QAE262145 QKA262145 QTW262145 RDS262145 RNO262145 RXK262145 SHG262145 SRC262145 TAY262145 TKU262145 TUQ262145 UEM262145 UOI262145 UYE262145 VIA262145 VRW262145 WBS262145 WLO262145 WVK262145 C327681 IY327681 SU327681 ACQ327681 AMM327681 AWI327681 BGE327681 BQA327681 BZW327681 CJS327681 CTO327681 DDK327681 DNG327681 DXC327681 EGY327681 EQU327681 FAQ327681 FKM327681 FUI327681 GEE327681 GOA327681 GXW327681 HHS327681 HRO327681 IBK327681 ILG327681 IVC327681 JEY327681 JOU327681 JYQ327681 KIM327681 KSI327681 LCE327681 LMA327681 LVW327681 MFS327681 MPO327681 MZK327681 NJG327681 NTC327681 OCY327681 OMU327681 OWQ327681 PGM327681 PQI327681 QAE327681 QKA327681 QTW327681 RDS327681 RNO327681 RXK327681 SHG327681 SRC327681 TAY327681 TKU327681 TUQ327681 UEM327681 UOI327681 UYE327681 VIA327681 VRW327681 WBS327681 WLO327681 WVK327681 C393217 IY393217 SU393217 ACQ393217 AMM393217 AWI393217 BGE393217 BQA393217 BZW393217 CJS393217 CTO393217 DDK393217 DNG393217 DXC393217 EGY393217 EQU393217 FAQ393217 FKM393217 FUI393217 GEE393217 GOA393217 GXW393217 HHS393217 HRO393217 IBK393217 ILG393217 IVC393217 JEY393217 JOU393217 JYQ393217 KIM393217 KSI393217 LCE393217 LMA393217 LVW393217 MFS393217 MPO393217 MZK393217 NJG393217 NTC393217 OCY393217 OMU393217 OWQ393217 PGM393217 PQI393217 QAE393217 QKA393217 QTW393217 RDS393217 RNO393217 RXK393217 SHG393217 SRC393217 TAY393217 TKU393217 TUQ393217 UEM393217 UOI393217 UYE393217 VIA393217 VRW393217 WBS393217 WLO393217 WVK393217 C458753 IY458753 SU458753 ACQ458753 AMM458753 AWI458753 BGE458753 BQA458753 BZW458753 CJS458753 CTO458753 DDK458753 DNG458753 DXC458753 EGY458753 EQU458753 FAQ458753 FKM458753 FUI458753 GEE458753 GOA458753 GXW458753 HHS458753 HRO458753 IBK458753 ILG458753 IVC458753 JEY458753 JOU458753 JYQ458753 KIM458753 KSI458753 LCE458753 LMA458753 LVW458753 MFS458753 MPO458753 MZK458753 NJG458753 NTC458753 OCY458753 OMU458753 OWQ458753 PGM458753 PQI458753 QAE458753 QKA458753 QTW458753 RDS458753 RNO458753 RXK458753 SHG458753 SRC458753 TAY458753 TKU458753 TUQ458753 UEM458753 UOI458753 UYE458753 VIA458753 VRW458753 WBS458753 WLO458753 WVK458753 C524289 IY524289 SU524289 ACQ524289 AMM524289 AWI524289 BGE524289 BQA524289 BZW524289 CJS524289 CTO524289 DDK524289 DNG524289 DXC524289 EGY524289 EQU524289 FAQ524289 FKM524289 FUI524289 GEE524289 GOA524289 GXW524289 HHS524289 HRO524289 IBK524289 ILG524289 IVC524289 JEY524289 JOU524289 JYQ524289 KIM524289 KSI524289 LCE524289 LMA524289 LVW524289 MFS524289 MPO524289 MZK524289 NJG524289 NTC524289 OCY524289 OMU524289 OWQ524289 PGM524289 PQI524289 QAE524289 QKA524289 QTW524289 RDS524289 RNO524289 RXK524289 SHG524289 SRC524289 TAY524289 TKU524289 TUQ524289 UEM524289 UOI524289 UYE524289 VIA524289 VRW524289 WBS524289 WLO524289 WVK524289 C589825 IY589825 SU589825 ACQ589825 AMM589825 AWI589825 BGE589825 BQA589825 BZW589825 CJS589825 CTO589825 DDK589825 DNG589825 DXC589825 EGY589825 EQU589825 FAQ589825 FKM589825 FUI589825 GEE589825 GOA589825 GXW589825 HHS589825 HRO589825 IBK589825 ILG589825 IVC589825 JEY589825 JOU589825 JYQ589825 KIM589825 KSI589825 LCE589825 LMA589825 LVW589825 MFS589825 MPO589825 MZK589825 NJG589825 NTC589825 OCY589825 OMU589825 OWQ589825 PGM589825 PQI589825 QAE589825 QKA589825 QTW589825 RDS589825 RNO589825 RXK589825 SHG589825 SRC589825 TAY589825 TKU589825 TUQ589825 UEM589825 UOI589825 UYE589825 VIA589825 VRW589825 WBS589825 WLO589825 WVK589825 C655361 IY655361 SU655361 ACQ655361 AMM655361 AWI655361 BGE655361 BQA655361 BZW655361 CJS655361 CTO655361 DDK655361 DNG655361 DXC655361 EGY655361 EQU655361 FAQ655361 FKM655361 FUI655361 GEE655361 GOA655361 GXW655361 HHS655361 HRO655361 IBK655361 ILG655361 IVC655361 JEY655361 JOU655361 JYQ655361 KIM655361 KSI655361 LCE655361 LMA655361 LVW655361 MFS655361 MPO655361 MZK655361 NJG655361 NTC655361 OCY655361 OMU655361 OWQ655361 PGM655361 PQI655361 QAE655361 QKA655361 QTW655361 RDS655361 RNO655361 RXK655361 SHG655361 SRC655361 TAY655361 TKU655361 TUQ655361 UEM655361 UOI655361 UYE655361 VIA655361 VRW655361 WBS655361 WLO655361 WVK655361 C720897 IY720897 SU720897 ACQ720897 AMM720897 AWI720897 BGE720897 BQA720897 BZW720897 CJS720897 CTO720897 DDK720897 DNG720897 DXC720897 EGY720897 EQU720897 FAQ720897 FKM720897 FUI720897 GEE720897 GOA720897 GXW720897 HHS720897 HRO720897 IBK720897 ILG720897 IVC720897 JEY720897 JOU720897 JYQ720897 KIM720897 KSI720897 LCE720897 LMA720897 LVW720897 MFS720897 MPO720897 MZK720897 NJG720897 NTC720897 OCY720897 OMU720897 OWQ720897 PGM720897 PQI720897 QAE720897 QKA720897 QTW720897 RDS720897 RNO720897 RXK720897 SHG720897 SRC720897 TAY720897 TKU720897 TUQ720897 UEM720897 UOI720897 UYE720897 VIA720897 VRW720897 WBS720897 WLO720897 WVK720897 C786433 IY786433 SU786433 ACQ786433 AMM786433 AWI786433 BGE786433 BQA786433 BZW786433 CJS786433 CTO786433 DDK786433 DNG786433 DXC786433 EGY786433 EQU786433 FAQ786433 FKM786433 FUI786433 GEE786433 GOA786433 GXW786433 HHS786433 HRO786433 IBK786433 ILG786433 IVC786433 JEY786433 JOU786433 JYQ786433 KIM786433 KSI786433 LCE786433 LMA786433 LVW786433 MFS786433 MPO786433 MZK786433 NJG786433 NTC786433 OCY786433 OMU786433 OWQ786433 PGM786433 PQI786433 QAE786433 QKA786433 QTW786433 RDS786433 RNO786433 RXK786433 SHG786433 SRC786433 TAY786433 TKU786433 TUQ786433 UEM786433 UOI786433 UYE786433 VIA786433 VRW786433 WBS786433 WLO786433 WVK786433 C851969 IY851969 SU851969 ACQ851969 AMM851969 AWI851969 BGE851969 BQA851969 BZW851969 CJS851969 CTO851969 DDK851969 DNG851969 DXC851969 EGY851969 EQU851969 FAQ851969 FKM851969 FUI851969 GEE851969 GOA851969 GXW851969 HHS851969 HRO851969 IBK851969 ILG851969 IVC851969 JEY851969 JOU851969 JYQ851969 KIM851969 KSI851969 LCE851969 LMA851969 LVW851969 MFS851969 MPO851969 MZK851969 NJG851969 NTC851969 OCY851969 OMU851969 OWQ851969 PGM851969 PQI851969 QAE851969 QKA851969 QTW851969 RDS851969 RNO851969 RXK851969 SHG851969 SRC851969 TAY851969 TKU851969 TUQ851969 UEM851969 UOI851969 UYE851969 VIA851969 VRW851969 WBS851969 WLO851969 WVK851969 C917505 IY917505 SU917505 ACQ917505 AMM917505 AWI917505 BGE917505 BQA917505 BZW917505 CJS917505 CTO917505 DDK917505 DNG917505 DXC917505 EGY917505 EQU917505 FAQ917505 FKM917505 FUI917505 GEE917505 GOA917505 GXW917505 HHS917505 HRO917505 IBK917505 ILG917505 IVC917505 JEY917505 JOU917505 JYQ917505 KIM917505 KSI917505 LCE917505 LMA917505 LVW917505 MFS917505 MPO917505 MZK917505 NJG917505 NTC917505 OCY917505 OMU917505 OWQ917505 PGM917505 PQI917505 QAE917505 QKA917505 QTW917505 RDS917505 RNO917505 RXK917505 SHG917505 SRC917505 TAY917505 TKU917505 TUQ917505 UEM917505 UOI917505 UYE917505 VIA917505 VRW917505 WBS917505 WLO917505 WVK917505 C983041 IY983041 SU983041 ACQ983041 AMM983041 AWI983041 BGE983041 BQA983041 BZW983041 CJS983041 CTO983041 DDK983041 DNG983041 DXC983041 EGY983041 EQU983041 FAQ983041 FKM983041 FUI983041 GEE983041 GOA983041 GXW983041 HHS983041 HRO983041 IBK983041 ILG983041 IVC983041 JEY983041 JOU983041 JYQ983041 KIM983041 KSI983041 LCE983041 LMA983041 LVW983041 MFS983041 MPO983041 MZK983041 NJG983041 NTC983041 OCY983041 OMU983041 OWQ983041 PGM983041 PQI983041 QAE983041 QKA983041 QTW983041 RDS983041 RNO983041 RXK983041 SHG983041 SRC983041 TAY983041 TKU983041 TUQ983041 UEM983041 UOI983041 UYE983041 VIA983041 VRW983041 WBS983041 WLO983041 WVK983041 M1 JI1 TE1 ADA1 AMW1 AWS1 BGO1 BQK1 CAG1 CKC1 CTY1 DDU1 DNQ1 DXM1 EHI1 ERE1 FBA1 FKW1 FUS1 GEO1 GOK1 GYG1 HIC1 HRY1 IBU1 ILQ1 IVM1 JFI1 JPE1 JZA1 KIW1 KSS1 LCO1 LMK1 LWG1 MGC1 MPY1 MZU1 NJQ1 NTM1 ODI1 ONE1 OXA1 PGW1 PQS1 QAO1 QKK1 QUG1 REC1 RNY1 RXU1 SHQ1 SRM1 TBI1 TLE1 TVA1 UEW1 UOS1 UYO1 VIK1 VSG1 WCC1 WLY1 WVU1 M65537 JI65537 TE65537 ADA65537 AMW65537 AWS65537 BGO65537 BQK65537 CAG65537 CKC65537 CTY65537 DDU65537 DNQ65537 DXM65537 EHI65537 ERE65537 FBA65537 FKW65537 FUS65537 GEO65537 GOK65537 GYG65537 HIC65537 HRY65537 IBU65537 ILQ65537 IVM65537 JFI65537 JPE65537 JZA65537 KIW65537 KSS65537 LCO65537 LMK65537 LWG65537 MGC65537 MPY65537 MZU65537 NJQ65537 NTM65537 ODI65537 ONE65537 OXA65537 PGW65537 PQS65537 QAO65537 QKK65537 QUG65537 REC65537 RNY65537 RXU65537 SHQ65537 SRM65537 TBI65537 TLE65537 TVA65537 UEW65537 UOS65537 UYO65537 VIK65537 VSG65537 WCC65537 WLY65537 WVU65537 M131073 JI131073 TE131073 ADA131073 AMW131073 AWS131073 BGO131073 BQK131073 CAG131073 CKC131073 CTY131073 DDU131073 DNQ131073 DXM131073 EHI131073 ERE131073 FBA131073 FKW131073 FUS131073 GEO131073 GOK131073 GYG131073 HIC131073 HRY131073 IBU131073 ILQ131073 IVM131073 JFI131073 JPE131073 JZA131073 KIW131073 KSS131073 LCO131073 LMK131073 LWG131073 MGC131073 MPY131073 MZU131073 NJQ131073 NTM131073 ODI131073 ONE131073 OXA131073 PGW131073 PQS131073 QAO131073 QKK131073 QUG131073 REC131073 RNY131073 RXU131073 SHQ131073 SRM131073 TBI131073 TLE131073 TVA131073 UEW131073 UOS131073 UYO131073 VIK131073 VSG131073 WCC131073 WLY131073 WVU131073 M196609 JI196609 TE196609 ADA196609 AMW196609 AWS196609 BGO196609 BQK196609 CAG196609 CKC196609 CTY196609 DDU196609 DNQ196609 DXM196609 EHI196609 ERE196609 FBA196609 FKW196609 FUS196609 GEO196609 GOK196609 GYG196609 HIC196609 HRY196609 IBU196609 ILQ196609 IVM196609 JFI196609 JPE196609 JZA196609 KIW196609 KSS196609 LCO196609 LMK196609 LWG196609 MGC196609 MPY196609 MZU196609 NJQ196609 NTM196609 ODI196609 ONE196609 OXA196609 PGW196609 PQS196609 QAO196609 QKK196609 QUG196609 REC196609 RNY196609 RXU196609 SHQ196609 SRM196609 TBI196609 TLE196609 TVA196609 UEW196609 UOS196609 UYO196609 VIK196609 VSG196609 WCC196609 WLY196609 WVU196609 M262145 JI262145 TE262145 ADA262145 AMW262145 AWS262145 BGO262145 BQK262145 CAG262145 CKC262145 CTY262145 DDU262145 DNQ262145 DXM262145 EHI262145 ERE262145 FBA262145 FKW262145 FUS262145 GEO262145 GOK262145 GYG262145 HIC262145 HRY262145 IBU262145 ILQ262145 IVM262145 JFI262145 JPE262145 JZA262145 KIW262145 KSS262145 LCO262145 LMK262145 LWG262145 MGC262145 MPY262145 MZU262145 NJQ262145 NTM262145 ODI262145 ONE262145 OXA262145 PGW262145 PQS262145 QAO262145 QKK262145 QUG262145 REC262145 RNY262145 RXU262145 SHQ262145 SRM262145 TBI262145 TLE262145 TVA262145 UEW262145 UOS262145 UYO262145 VIK262145 VSG262145 WCC262145 WLY262145 WVU262145 M327681 JI327681 TE327681 ADA327681 AMW327681 AWS327681 BGO327681 BQK327681 CAG327681 CKC327681 CTY327681 DDU327681 DNQ327681 DXM327681 EHI327681 ERE327681 FBA327681 FKW327681 FUS327681 GEO327681 GOK327681 GYG327681 HIC327681 HRY327681 IBU327681 ILQ327681 IVM327681 JFI327681 JPE327681 JZA327681 KIW327681 KSS327681 LCO327681 LMK327681 LWG327681 MGC327681 MPY327681 MZU327681 NJQ327681 NTM327681 ODI327681 ONE327681 OXA327681 PGW327681 PQS327681 QAO327681 QKK327681 QUG327681 REC327681 RNY327681 RXU327681 SHQ327681 SRM327681 TBI327681 TLE327681 TVA327681 UEW327681 UOS327681 UYO327681 VIK327681 VSG327681 WCC327681 WLY327681 WVU327681 M393217 JI393217 TE393217 ADA393217 AMW393217 AWS393217 BGO393217 BQK393217 CAG393217 CKC393217 CTY393217 DDU393217 DNQ393217 DXM393217 EHI393217 ERE393217 FBA393217 FKW393217 FUS393217 GEO393217 GOK393217 GYG393217 HIC393217 HRY393217 IBU393217 ILQ393217 IVM393217 JFI393217 JPE393217 JZA393217 KIW393217 KSS393217 LCO393217 LMK393217 LWG393217 MGC393217 MPY393217 MZU393217 NJQ393217 NTM393217 ODI393217 ONE393217 OXA393217 PGW393217 PQS393217 QAO393217 QKK393217 QUG393217 REC393217 RNY393217 RXU393217 SHQ393217 SRM393217 TBI393217 TLE393217 TVA393217 UEW393217 UOS393217 UYO393217 VIK393217 VSG393217 WCC393217 WLY393217 WVU393217 M458753 JI458753 TE458753 ADA458753 AMW458753 AWS458753 BGO458753 BQK458753 CAG458753 CKC458753 CTY458753 DDU458753 DNQ458753 DXM458753 EHI458753 ERE458753 FBA458753 FKW458753 FUS458753 GEO458753 GOK458753 GYG458753 HIC458753 HRY458753 IBU458753 ILQ458753 IVM458753 JFI458753 JPE458753 JZA458753 KIW458753 KSS458753 LCO458753 LMK458753 LWG458753 MGC458753 MPY458753 MZU458753 NJQ458753 NTM458753 ODI458753 ONE458753 OXA458753 PGW458753 PQS458753 QAO458753 QKK458753 QUG458753 REC458753 RNY458753 RXU458753 SHQ458753 SRM458753 TBI458753 TLE458753 TVA458753 UEW458753 UOS458753 UYO458753 VIK458753 VSG458753 WCC458753 WLY458753 WVU458753 M524289 JI524289 TE524289 ADA524289 AMW524289 AWS524289 BGO524289 BQK524289 CAG524289 CKC524289 CTY524289 DDU524289 DNQ524289 DXM524289 EHI524289 ERE524289 FBA524289 FKW524289 FUS524289 GEO524289 GOK524289 GYG524289 HIC524289 HRY524289 IBU524289 ILQ524289 IVM524289 JFI524289 JPE524289 JZA524289 KIW524289 KSS524289 LCO524289 LMK524289 LWG524289 MGC524289 MPY524289 MZU524289 NJQ524289 NTM524289 ODI524289 ONE524289 OXA524289 PGW524289 PQS524289 QAO524289 QKK524289 QUG524289 REC524289 RNY524289 RXU524289 SHQ524289 SRM524289 TBI524289 TLE524289 TVA524289 UEW524289 UOS524289 UYO524289 VIK524289 VSG524289 WCC524289 WLY524289 WVU524289 M589825 JI589825 TE589825 ADA589825 AMW589825 AWS589825 BGO589825 BQK589825 CAG589825 CKC589825 CTY589825 DDU589825 DNQ589825 DXM589825 EHI589825 ERE589825 FBA589825 FKW589825 FUS589825 GEO589825 GOK589825 GYG589825 HIC589825 HRY589825 IBU589825 ILQ589825 IVM589825 JFI589825 JPE589825 JZA589825 KIW589825 KSS589825 LCO589825 LMK589825 LWG589825 MGC589825 MPY589825 MZU589825 NJQ589825 NTM589825 ODI589825 ONE589825 OXA589825 PGW589825 PQS589825 QAO589825 QKK589825 QUG589825 REC589825 RNY589825 RXU589825 SHQ589825 SRM589825 TBI589825 TLE589825 TVA589825 UEW589825 UOS589825 UYO589825 VIK589825 VSG589825 WCC589825 WLY589825 WVU589825 M655361 JI655361 TE655361 ADA655361 AMW655361 AWS655361 BGO655361 BQK655361 CAG655361 CKC655361 CTY655361 DDU655361 DNQ655361 DXM655361 EHI655361 ERE655361 FBA655361 FKW655361 FUS655361 GEO655361 GOK655361 GYG655361 HIC655361 HRY655361 IBU655361 ILQ655361 IVM655361 JFI655361 JPE655361 JZA655361 KIW655361 KSS655361 LCO655361 LMK655361 LWG655361 MGC655361 MPY655361 MZU655361 NJQ655361 NTM655361 ODI655361 ONE655361 OXA655361 PGW655361 PQS655361 QAO655361 QKK655361 QUG655361 REC655361 RNY655361 RXU655361 SHQ655361 SRM655361 TBI655361 TLE655361 TVA655361 UEW655361 UOS655361 UYO655361 VIK655361 VSG655361 WCC655361 WLY655361 WVU655361 M720897 JI720897 TE720897 ADA720897 AMW720897 AWS720897 BGO720897 BQK720897 CAG720897 CKC720897 CTY720897 DDU720897 DNQ720897 DXM720897 EHI720897 ERE720897 FBA720897 FKW720897 FUS720897 GEO720897 GOK720897 GYG720897 HIC720897 HRY720897 IBU720897 ILQ720897 IVM720897 JFI720897 JPE720897 JZA720897 KIW720897 KSS720897 LCO720897 LMK720897 LWG720897 MGC720897 MPY720897 MZU720897 NJQ720897 NTM720897 ODI720897 ONE720897 OXA720897 PGW720897 PQS720897 QAO720897 QKK720897 QUG720897 REC720897 RNY720897 RXU720897 SHQ720897 SRM720897 TBI720897 TLE720897 TVA720897 UEW720897 UOS720897 UYO720897 VIK720897 VSG720897 WCC720897 WLY720897 WVU720897 M786433 JI786433 TE786433 ADA786433 AMW786433 AWS786433 BGO786433 BQK786433 CAG786433 CKC786433 CTY786433 DDU786433 DNQ786433 DXM786433 EHI786433 ERE786433 FBA786433 FKW786433 FUS786433 GEO786433 GOK786433 GYG786433 HIC786433 HRY786433 IBU786433 ILQ786433 IVM786433 JFI786433 JPE786433 JZA786433 KIW786433 KSS786433 LCO786433 LMK786433 LWG786433 MGC786433 MPY786433 MZU786433 NJQ786433 NTM786433 ODI786433 ONE786433 OXA786433 PGW786433 PQS786433 QAO786433 QKK786433 QUG786433 REC786433 RNY786433 RXU786433 SHQ786433 SRM786433 TBI786433 TLE786433 TVA786433 UEW786433 UOS786433 UYO786433 VIK786433 VSG786433 WCC786433 WLY786433 WVU786433 M851969 JI851969 TE851969 ADA851969 AMW851969 AWS851969 BGO851969 BQK851969 CAG851969 CKC851969 CTY851969 DDU851969 DNQ851969 DXM851969 EHI851969 ERE851969 FBA851969 FKW851969 FUS851969 GEO851969 GOK851969 GYG851969 HIC851969 HRY851969 IBU851969 ILQ851969 IVM851969 JFI851969 JPE851969 JZA851969 KIW851969 KSS851969 LCO851969 LMK851969 LWG851969 MGC851969 MPY851969 MZU851969 NJQ851969 NTM851969 ODI851969 ONE851969 OXA851969 PGW851969 PQS851969 QAO851969 QKK851969 QUG851969 REC851969 RNY851969 RXU851969 SHQ851969 SRM851969 TBI851969 TLE851969 TVA851969 UEW851969 UOS851969 UYO851969 VIK851969 VSG851969 WCC851969 WLY851969 WVU851969 M917505 JI917505 TE917505 ADA917505 AMW917505 AWS917505 BGO917505 BQK917505 CAG917505 CKC917505 CTY917505 DDU917505 DNQ917505 DXM917505 EHI917505 ERE917505 FBA917505 FKW917505 FUS917505 GEO917505 GOK917505 GYG917505 HIC917505 HRY917505 IBU917505 ILQ917505 IVM917505 JFI917505 JPE917505 JZA917505 KIW917505 KSS917505 LCO917505 LMK917505 LWG917505 MGC917505 MPY917505 MZU917505 NJQ917505 NTM917505 ODI917505 ONE917505 OXA917505 PGW917505 PQS917505 QAO917505 QKK917505 QUG917505 REC917505 RNY917505 RXU917505 SHQ917505 SRM917505 TBI917505 TLE917505 TVA917505 UEW917505 UOS917505 UYO917505 VIK917505 VSG917505 WCC917505 WLY917505 WVU917505 M983041 JI983041 TE983041 ADA983041 AMW983041 AWS983041 BGO983041 BQK983041 CAG983041 CKC983041 CTY983041 DDU983041 DNQ983041 DXM983041 EHI983041 ERE983041 FBA983041 FKW983041 FUS983041 GEO983041 GOK983041 GYG983041 HIC983041 HRY983041 IBU983041 ILQ983041 IVM983041 JFI983041 JPE983041 JZA983041 KIW983041 KSS983041 LCO983041 LMK983041 LWG983041 MGC983041 MPY983041 MZU983041 NJQ983041 NTM983041 ODI983041 ONE983041 OXA983041 PGW983041 PQS983041 QAO983041 QKK983041 QUG983041 REC983041 RNY983041 RXU983041 SHQ983041 SRM983041 TBI983041 TLE983041 TVA983041 UEW983041 UOS983041 UYO983041 VIK983041 VSG983041 WCC983041 WLY983041 WVU983041 F1 JB1 SX1 ACT1 AMP1 AWL1 BGH1 BQD1 BZZ1 CJV1 CTR1 DDN1 DNJ1 DXF1 EHB1 EQX1 FAT1 FKP1 FUL1 GEH1 GOD1 GXZ1 HHV1 HRR1 IBN1 ILJ1 IVF1 JFB1 JOX1 JYT1 KIP1 KSL1 LCH1 LMD1 LVZ1 MFV1 MPR1 MZN1 NJJ1 NTF1 ODB1 OMX1 OWT1 PGP1 PQL1 QAH1 QKD1 QTZ1 RDV1 RNR1 RXN1 SHJ1 SRF1 TBB1 TKX1 TUT1 UEP1 UOL1 UYH1 VID1 VRZ1 WBV1 WLR1 WVN1 F65537 JB65537 SX65537 ACT65537 AMP65537 AWL65537 BGH65537 BQD65537 BZZ65537 CJV65537 CTR65537 DDN65537 DNJ65537 DXF65537 EHB65537 EQX65537 FAT65537 FKP65537 FUL65537 GEH65537 GOD65537 GXZ65537 HHV65537 HRR65537 IBN65537 ILJ65537 IVF65537 JFB65537 JOX65537 JYT65537 KIP65537 KSL65537 LCH65537 LMD65537 LVZ65537 MFV65537 MPR65537 MZN65537 NJJ65537 NTF65537 ODB65537 OMX65537 OWT65537 PGP65537 PQL65537 QAH65537 QKD65537 QTZ65537 RDV65537 RNR65537 RXN65537 SHJ65537 SRF65537 TBB65537 TKX65537 TUT65537 UEP65537 UOL65537 UYH65537 VID65537 VRZ65537 WBV65537 WLR65537 WVN65537 F131073 JB131073 SX131073 ACT131073 AMP131073 AWL131073 BGH131073 BQD131073 BZZ131073 CJV131073 CTR131073 DDN131073 DNJ131073 DXF131073 EHB131073 EQX131073 FAT131073 FKP131073 FUL131073 GEH131073 GOD131073 GXZ131073 HHV131073 HRR131073 IBN131073 ILJ131073 IVF131073 JFB131073 JOX131073 JYT131073 KIP131073 KSL131073 LCH131073 LMD131073 LVZ131073 MFV131073 MPR131073 MZN131073 NJJ131073 NTF131073 ODB131073 OMX131073 OWT131073 PGP131073 PQL131073 QAH131073 QKD131073 QTZ131073 RDV131073 RNR131073 RXN131073 SHJ131073 SRF131073 TBB131073 TKX131073 TUT131073 UEP131073 UOL131073 UYH131073 VID131073 VRZ131073 WBV131073 WLR131073 WVN131073 F196609 JB196609 SX196609 ACT196609 AMP196609 AWL196609 BGH196609 BQD196609 BZZ196609 CJV196609 CTR196609 DDN196609 DNJ196609 DXF196609 EHB196609 EQX196609 FAT196609 FKP196609 FUL196609 GEH196609 GOD196609 GXZ196609 HHV196609 HRR196609 IBN196609 ILJ196609 IVF196609 JFB196609 JOX196609 JYT196609 KIP196609 KSL196609 LCH196609 LMD196609 LVZ196609 MFV196609 MPR196609 MZN196609 NJJ196609 NTF196609 ODB196609 OMX196609 OWT196609 PGP196609 PQL196609 QAH196609 QKD196609 QTZ196609 RDV196609 RNR196609 RXN196609 SHJ196609 SRF196609 TBB196609 TKX196609 TUT196609 UEP196609 UOL196609 UYH196609 VID196609 VRZ196609 WBV196609 WLR196609 WVN196609 F262145 JB262145 SX262145 ACT262145 AMP262145 AWL262145 BGH262145 BQD262145 BZZ262145 CJV262145 CTR262145 DDN262145 DNJ262145 DXF262145 EHB262145 EQX262145 FAT262145 FKP262145 FUL262145 GEH262145 GOD262145 GXZ262145 HHV262145 HRR262145 IBN262145 ILJ262145 IVF262145 JFB262145 JOX262145 JYT262145 KIP262145 KSL262145 LCH262145 LMD262145 LVZ262145 MFV262145 MPR262145 MZN262145 NJJ262145 NTF262145 ODB262145 OMX262145 OWT262145 PGP262145 PQL262145 QAH262145 QKD262145 QTZ262145 RDV262145 RNR262145 RXN262145 SHJ262145 SRF262145 TBB262145 TKX262145 TUT262145 UEP262145 UOL262145 UYH262145 VID262145 VRZ262145 WBV262145 WLR262145 WVN262145 F327681 JB327681 SX327681 ACT327681 AMP327681 AWL327681 BGH327681 BQD327681 BZZ327681 CJV327681 CTR327681 DDN327681 DNJ327681 DXF327681 EHB327681 EQX327681 FAT327681 FKP327681 FUL327681 GEH327681 GOD327681 GXZ327681 HHV327681 HRR327681 IBN327681 ILJ327681 IVF327681 JFB327681 JOX327681 JYT327681 KIP327681 KSL327681 LCH327681 LMD327681 LVZ327681 MFV327681 MPR327681 MZN327681 NJJ327681 NTF327681 ODB327681 OMX327681 OWT327681 PGP327681 PQL327681 QAH327681 QKD327681 QTZ327681 RDV327681 RNR327681 RXN327681 SHJ327681 SRF327681 TBB327681 TKX327681 TUT327681 UEP327681 UOL327681 UYH327681 VID327681 VRZ327681 WBV327681 WLR327681 WVN327681 F393217 JB393217 SX393217 ACT393217 AMP393217 AWL393217 BGH393217 BQD393217 BZZ393217 CJV393217 CTR393217 DDN393217 DNJ393217 DXF393217 EHB393217 EQX393217 FAT393217 FKP393217 FUL393217 GEH393217 GOD393217 GXZ393217 HHV393217 HRR393217 IBN393217 ILJ393217 IVF393217 JFB393217 JOX393217 JYT393217 KIP393217 KSL393217 LCH393217 LMD393217 LVZ393217 MFV393217 MPR393217 MZN393217 NJJ393217 NTF393217 ODB393217 OMX393217 OWT393217 PGP393217 PQL393217 QAH393217 QKD393217 QTZ393217 RDV393217 RNR393217 RXN393217 SHJ393217 SRF393217 TBB393217 TKX393217 TUT393217 UEP393217 UOL393217 UYH393217 VID393217 VRZ393217 WBV393217 WLR393217 WVN393217 F458753 JB458753 SX458753 ACT458753 AMP458753 AWL458753 BGH458753 BQD458753 BZZ458753 CJV458753 CTR458753 DDN458753 DNJ458753 DXF458753 EHB458753 EQX458753 FAT458753 FKP458753 FUL458753 GEH458753 GOD458753 GXZ458753 HHV458753 HRR458753 IBN458753 ILJ458753 IVF458753 JFB458753 JOX458753 JYT458753 KIP458753 KSL458753 LCH458753 LMD458753 LVZ458753 MFV458753 MPR458753 MZN458753 NJJ458753 NTF458753 ODB458753 OMX458753 OWT458753 PGP458753 PQL458753 QAH458753 QKD458753 QTZ458753 RDV458753 RNR458753 RXN458753 SHJ458753 SRF458753 TBB458753 TKX458753 TUT458753 UEP458753 UOL458753 UYH458753 VID458753 VRZ458753 WBV458753 WLR458753 WVN458753 F524289 JB524289 SX524289 ACT524289 AMP524289 AWL524289 BGH524289 BQD524289 BZZ524289 CJV524289 CTR524289 DDN524289 DNJ524289 DXF524289 EHB524289 EQX524289 FAT524289 FKP524289 FUL524289 GEH524289 GOD524289 GXZ524289 HHV524289 HRR524289 IBN524289 ILJ524289 IVF524289 JFB524289 JOX524289 JYT524289 KIP524289 KSL524289 LCH524289 LMD524289 LVZ524289 MFV524289 MPR524289 MZN524289 NJJ524289 NTF524289 ODB524289 OMX524289 OWT524289 PGP524289 PQL524289 QAH524289 QKD524289 QTZ524289 RDV524289 RNR524289 RXN524289 SHJ524289 SRF524289 TBB524289 TKX524289 TUT524289 UEP524289 UOL524289 UYH524289 VID524289 VRZ524289 WBV524289 WLR524289 WVN524289 F589825 JB589825 SX589825 ACT589825 AMP589825 AWL589825 BGH589825 BQD589825 BZZ589825 CJV589825 CTR589825 DDN589825 DNJ589825 DXF589825 EHB589825 EQX589825 FAT589825 FKP589825 FUL589825 GEH589825 GOD589825 GXZ589825 HHV589825 HRR589825 IBN589825 ILJ589825 IVF589825 JFB589825 JOX589825 JYT589825 KIP589825 KSL589825 LCH589825 LMD589825 LVZ589825 MFV589825 MPR589825 MZN589825 NJJ589825 NTF589825 ODB589825 OMX589825 OWT589825 PGP589825 PQL589825 QAH589825 QKD589825 QTZ589825 RDV589825 RNR589825 RXN589825 SHJ589825 SRF589825 TBB589825 TKX589825 TUT589825 UEP589825 UOL589825 UYH589825 VID589825 VRZ589825 WBV589825 WLR589825 WVN589825 F655361 JB655361 SX655361 ACT655361 AMP655361 AWL655361 BGH655361 BQD655361 BZZ655361 CJV655361 CTR655361 DDN655361 DNJ655361 DXF655361 EHB655361 EQX655361 FAT655361 FKP655361 FUL655361 GEH655361 GOD655361 GXZ655361 HHV655361 HRR655361 IBN655361 ILJ655361 IVF655361 JFB655361 JOX655361 JYT655361 KIP655361 KSL655361 LCH655361 LMD655361 LVZ655361 MFV655361 MPR655361 MZN655361 NJJ655361 NTF655361 ODB655361 OMX655361 OWT655361 PGP655361 PQL655361 QAH655361 QKD655361 QTZ655361 RDV655361 RNR655361 RXN655361 SHJ655361 SRF655361 TBB655361 TKX655361 TUT655361 UEP655361 UOL655361 UYH655361 VID655361 VRZ655361 WBV655361 WLR655361 WVN655361 F720897 JB720897 SX720897 ACT720897 AMP720897 AWL720897 BGH720897 BQD720897 BZZ720897 CJV720897 CTR720897 DDN720897 DNJ720897 DXF720897 EHB720897 EQX720897 FAT720897 FKP720897 FUL720897 GEH720897 GOD720897 GXZ720897 HHV720897 HRR720897 IBN720897 ILJ720897 IVF720897 JFB720897 JOX720897 JYT720897 KIP720897 KSL720897 LCH720897 LMD720897 LVZ720897 MFV720897 MPR720897 MZN720897 NJJ720897 NTF720897 ODB720897 OMX720897 OWT720897 PGP720897 PQL720897 QAH720897 QKD720897 QTZ720897 RDV720897 RNR720897 RXN720897 SHJ720897 SRF720897 TBB720897 TKX720897 TUT720897 UEP720897 UOL720897 UYH720897 VID720897 VRZ720897 WBV720897 WLR720897 WVN720897 F786433 JB786433 SX786433 ACT786433 AMP786433 AWL786433 BGH786433 BQD786433 BZZ786433 CJV786433 CTR786433 DDN786433 DNJ786433 DXF786433 EHB786433 EQX786433 FAT786433 FKP786433 FUL786433 GEH786433 GOD786433 GXZ786433 HHV786433 HRR786433 IBN786433 ILJ786433 IVF786433 JFB786433 JOX786433 JYT786433 KIP786433 KSL786433 LCH786433 LMD786433 LVZ786433 MFV786433 MPR786433 MZN786433 NJJ786433 NTF786433 ODB786433 OMX786433 OWT786433 PGP786433 PQL786433 QAH786433 QKD786433 QTZ786433 RDV786433 RNR786433 RXN786433 SHJ786433 SRF786433 TBB786433 TKX786433 TUT786433 UEP786433 UOL786433 UYH786433 VID786433 VRZ786433 WBV786433 WLR786433 WVN786433 F851969 JB851969 SX851969 ACT851969 AMP851969 AWL851969 BGH851969 BQD851969 BZZ851969 CJV851969 CTR851969 DDN851969 DNJ851969 DXF851969 EHB851969 EQX851969 FAT851969 FKP851969 FUL851969 GEH851969 GOD851969 GXZ851969 HHV851969 HRR851969 IBN851969 ILJ851969 IVF851969 JFB851969 JOX851969 JYT851969 KIP851969 KSL851969 LCH851969 LMD851969 LVZ851969 MFV851969 MPR851969 MZN851969 NJJ851969 NTF851969 ODB851969 OMX851969 OWT851969 PGP851969 PQL851969 QAH851969 QKD851969 QTZ851969 RDV851969 RNR851969 RXN851969 SHJ851969 SRF851969 TBB851969 TKX851969 TUT851969 UEP851969 UOL851969 UYH851969 VID851969 VRZ851969 WBV851969 WLR851969 WVN851969 F917505 JB917505 SX917505 ACT917505 AMP917505 AWL917505 BGH917505 BQD917505 BZZ917505 CJV917505 CTR917505 DDN917505 DNJ917505 DXF917505 EHB917505 EQX917505 FAT917505 FKP917505 FUL917505 GEH917505 GOD917505 GXZ917505 HHV917505 HRR917505 IBN917505 ILJ917505 IVF917505 JFB917505 JOX917505 JYT917505 KIP917505 KSL917505 LCH917505 LMD917505 LVZ917505 MFV917505 MPR917505 MZN917505 NJJ917505 NTF917505 ODB917505 OMX917505 OWT917505 PGP917505 PQL917505 QAH917505 QKD917505 QTZ917505 RDV917505 RNR917505 RXN917505 SHJ917505 SRF917505 TBB917505 TKX917505 TUT917505 UEP917505 UOL917505 UYH917505 VID917505 VRZ917505 WBV917505 WLR917505 WVN917505 F983041 JB983041 SX983041 ACT983041 AMP983041 AWL983041 BGH983041 BQD983041 BZZ983041 CJV983041 CTR983041 DDN983041 DNJ983041 DXF983041 EHB983041 EQX983041 FAT983041 FKP983041 FUL983041 GEH983041 GOD983041 GXZ983041 HHV983041 HRR983041 IBN983041 ILJ983041 IVF983041 JFB983041 JOX983041 JYT983041 KIP983041 KSL983041 LCH983041 LMD983041 LVZ983041 MFV983041 MPR983041 MZN983041 NJJ983041 NTF983041 ODB983041 OMX983041 OWT983041 PGP983041 PQL983041 QAH983041 QKD983041 QTZ983041 RDV983041 RNR983041 RXN983041 SHJ983041 SRF983041 TBB983041 TKX983041 TUT983041 UEP983041 UOL983041 UYH983041 VID983041 VRZ983041 WBV983041 WLR983041 WVN983041" xr:uid="{816813DF-F96C-4836-B23C-D4E7843CB760}">
      <formula1>0</formula1>
      <formula2>0</formula2>
    </dataValidation>
  </dataValidations>
  <printOptions horizontalCentered="1"/>
  <pageMargins left="0.51181102362204722" right="0.51181102362204722" top="0.74803149606299213" bottom="0.35433070866141736" header="0.31496062992125984" footer="0.11811023622047245"/>
  <pageSetup paperSize="9" scale="97" fitToHeight="5" orientation="portrait" r:id="rId1"/>
  <rowBreaks count="5" manualBreakCount="5">
    <brk id="40" max="16383" man="1"/>
    <brk id="71" max="16383" man="1"/>
    <brk id="102" max="16383" man="1"/>
    <brk id="133" max="16383" man="1"/>
    <brk id="164" min="2" max="8"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Полис</vt:lpstr>
      <vt:lpstr>Полис!Область_печати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Агентство спортивного страхования</dc:creator>
  <cp:lastModifiedBy>Агентство спортивного страхования</cp:lastModifiedBy>
  <dcterms:created xsi:type="dcterms:W3CDTF">2026-08-30T19:09:38Z</dcterms:created>
  <dcterms:modified xsi:type="dcterms:W3CDTF">2026-08-30T19:26:50Z</dcterms:modified>
</cp:coreProperties>
</file>